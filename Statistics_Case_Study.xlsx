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F32CE68-3101-46DE-8DB7-1BEE8EBA6C5A}" xr6:coauthVersionLast="47" xr6:coauthVersionMax="47" xr10:uidLastSave="{00000000-0000-0000-0000-000000000000}"/>
  <bookViews>
    <workbookView xWindow="-108" yWindow="-108" windowWidth="23256" windowHeight="12456" tabRatio="795" activeTab="2" xr2:uid="{00000000-000D-0000-FFFF-FFFF00000000}"/>
  </bookViews>
  <sheets>
    <sheet name="graduates" sheetId="2" r:id="rId1"/>
    <sheet name="helpdesk" sheetId="3" r:id="rId2"/>
    <sheet name="Myr_answers" sheetId="6" r:id="rId3"/>
  </sheets>
  <definedNames>
    <definedName name="_xlnm._FilterDatabase" localSheetId="0" hidden="1">graduates!$A$1:$G$301</definedName>
    <definedName name="_xlnm._FilterDatabase" localSheetId="1" hidden="1">helpdesk!$A$1:$C$181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6" l="1"/>
  <c r="G22" i="6"/>
  <c r="G23" i="6"/>
  <c r="G24" i="6"/>
  <c r="G25" i="6"/>
  <c r="G26" i="6"/>
  <c r="G27" i="6"/>
  <c r="G28" i="6"/>
  <c r="G29" i="6"/>
  <c r="G30" i="6"/>
  <c r="G20" i="6"/>
  <c r="C27" i="6"/>
  <c r="C25" i="6"/>
  <c r="C26" i="6"/>
  <c r="C24" i="6"/>
  <c r="C20" i="6"/>
  <c r="C19" i="6"/>
  <c r="L14" i="6"/>
  <c r="L13" i="6"/>
  <c r="L12" i="6"/>
  <c r="L11" i="6"/>
  <c r="L10" i="6"/>
  <c r="L9" i="6"/>
  <c r="L8" i="6"/>
  <c r="K8" i="6"/>
  <c r="K14" i="6"/>
  <c r="K13" i="6"/>
  <c r="K12" i="6"/>
  <c r="K11" i="6"/>
  <c r="K10" i="6"/>
  <c r="K9" i="6"/>
  <c r="C16" i="6"/>
  <c r="C14" i="6"/>
  <c r="C13" i="6"/>
  <c r="C12" i="6"/>
  <c r="C11" i="6"/>
  <c r="C10" i="6"/>
  <c r="C9" i="6"/>
</calcChain>
</file>

<file path=xl/sharedStrings.xml><?xml version="1.0" encoding="utf-8"?>
<sst xmlns="http://schemas.openxmlformats.org/spreadsheetml/2006/main" count="1081" uniqueCount="593">
  <si>
    <t>grad_id</t>
  </si>
  <si>
    <t>track</t>
  </si>
  <si>
    <t>assessment_score</t>
  </si>
  <si>
    <t>starting_salary_k</t>
  </si>
  <si>
    <t>interviews</t>
  </si>
  <si>
    <t>offers</t>
  </si>
  <si>
    <t>days_to_first_offer</t>
  </si>
  <si>
    <t>G-1001</t>
  </si>
  <si>
    <t>Data Science</t>
  </si>
  <si>
    <t>G-1002</t>
  </si>
  <si>
    <t>G-1003</t>
  </si>
  <si>
    <t>G-1004</t>
  </si>
  <si>
    <t>G-1005</t>
  </si>
  <si>
    <t>G-1006</t>
  </si>
  <si>
    <t>G-1007</t>
  </si>
  <si>
    <t>G-1008</t>
  </si>
  <si>
    <t>G-1009</t>
  </si>
  <si>
    <t>G-1010</t>
  </si>
  <si>
    <t>G-1011</t>
  </si>
  <si>
    <t>G-1012</t>
  </si>
  <si>
    <t>G-1013</t>
  </si>
  <si>
    <t>G-1014</t>
  </si>
  <si>
    <t>G-1015</t>
  </si>
  <si>
    <t>G-1016</t>
  </si>
  <si>
    <t>G-1017</t>
  </si>
  <si>
    <t>G-1018</t>
  </si>
  <si>
    <t>G-1019</t>
  </si>
  <si>
    <t>G-1020</t>
  </si>
  <si>
    <t>G-1021</t>
  </si>
  <si>
    <t>G-1022</t>
  </si>
  <si>
    <t>G-1023</t>
  </si>
  <si>
    <t>G-1024</t>
  </si>
  <si>
    <t>G-1025</t>
  </si>
  <si>
    <t>G-1026</t>
  </si>
  <si>
    <t>G-1027</t>
  </si>
  <si>
    <t>G-1028</t>
  </si>
  <si>
    <t>G-1029</t>
  </si>
  <si>
    <t>G-1030</t>
  </si>
  <si>
    <t>G-1031</t>
  </si>
  <si>
    <t>G-1032</t>
  </si>
  <si>
    <t>G-1033</t>
  </si>
  <si>
    <t>G-1034</t>
  </si>
  <si>
    <t>G-1035</t>
  </si>
  <si>
    <t>G-1036</t>
  </si>
  <si>
    <t>G-1037</t>
  </si>
  <si>
    <t>G-1038</t>
  </si>
  <si>
    <t>G-1039</t>
  </si>
  <si>
    <t>G-1040</t>
  </si>
  <si>
    <t>G-1041</t>
  </si>
  <si>
    <t>G-1042</t>
  </si>
  <si>
    <t>G-1043</t>
  </si>
  <si>
    <t>G-1044</t>
  </si>
  <si>
    <t>G-1045</t>
  </si>
  <si>
    <t>G-1046</t>
  </si>
  <si>
    <t>G-1047</t>
  </si>
  <si>
    <t>G-1048</t>
  </si>
  <si>
    <t>G-1049</t>
  </si>
  <si>
    <t>G-1050</t>
  </si>
  <si>
    <t>G-1051</t>
  </si>
  <si>
    <t>G-1052</t>
  </si>
  <si>
    <t>G-1053</t>
  </si>
  <si>
    <t>G-1054</t>
  </si>
  <si>
    <t>G-1055</t>
  </si>
  <si>
    <t>G-1056</t>
  </si>
  <si>
    <t>G-1057</t>
  </si>
  <si>
    <t>G-1058</t>
  </si>
  <si>
    <t>G-1059</t>
  </si>
  <si>
    <t>G-1060</t>
  </si>
  <si>
    <t>G-1061</t>
  </si>
  <si>
    <t>G-1062</t>
  </si>
  <si>
    <t>G-1063</t>
  </si>
  <si>
    <t>G-1064</t>
  </si>
  <si>
    <t>G-1065</t>
  </si>
  <si>
    <t>G-1066</t>
  </si>
  <si>
    <t>G-1067</t>
  </si>
  <si>
    <t>G-1068</t>
  </si>
  <si>
    <t>G-1069</t>
  </si>
  <si>
    <t>G-1070</t>
  </si>
  <si>
    <t>G-1071</t>
  </si>
  <si>
    <t>G-1072</t>
  </si>
  <si>
    <t>G-1073</t>
  </si>
  <si>
    <t>G-1074</t>
  </si>
  <si>
    <t>G-1075</t>
  </si>
  <si>
    <t>G-1076</t>
  </si>
  <si>
    <t>G-1077</t>
  </si>
  <si>
    <t>G-1078</t>
  </si>
  <si>
    <t>G-1079</t>
  </si>
  <si>
    <t>G-1080</t>
  </si>
  <si>
    <t>G-1081</t>
  </si>
  <si>
    <t>G-1082</t>
  </si>
  <si>
    <t>G-1083</t>
  </si>
  <si>
    <t>G-1084</t>
  </si>
  <si>
    <t>G-1085</t>
  </si>
  <si>
    <t>G-1086</t>
  </si>
  <si>
    <t>G-1087</t>
  </si>
  <si>
    <t>G-1088</t>
  </si>
  <si>
    <t>G-1089</t>
  </si>
  <si>
    <t>G-1090</t>
  </si>
  <si>
    <t>G-1091</t>
  </si>
  <si>
    <t>G-1092</t>
  </si>
  <si>
    <t>G-1093</t>
  </si>
  <si>
    <t>G-1094</t>
  </si>
  <si>
    <t>G-1095</t>
  </si>
  <si>
    <t>G-1096</t>
  </si>
  <si>
    <t>Web Development</t>
  </si>
  <si>
    <t>G-1097</t>
  </si>
  <si>
    <t>G-1098</t>
  </si>
  <si>
    <t>G-1099</t>
  </si>
  <si>
    <t>G-1100</t>
  </si>
  <si>
    <t>G-1101</t>
  </si>
  <si>
    <t>G-1102</t>
  </si>
  <si>
    <t>G-1103</t>
  </si>
  <si>
    <t>G-1104</t>
  </si>
  <si>
    <t>G-1105</t>
  </si>
  <si>
    <t>G-1106</t>
  </si>
  <si>
    <t>G-1107</t>
  </si>
  <si>
    <t>G-1108</t>
  </si>
  <si>
    <t>G-1109</t>
  </si>
  <si>
    <t>G-1110</t>
  </si>
  <si>
    <t>G-1111</t>
  </si>
  <si>
    <t>G-1112</t>
  </si>
  <si>
    <t>G-1113</t>
  </si>
  <si>
    <t>G-1114</t>
  </si>
  <si>
    <t>G-1115</t>
  </si>
  <si>
    <t>G-1116</t>
  </si>
  <si>
    <t>G-1117</t>
  </si>
  <si>
    <t>G-1118</t>
  </si>
  <si>
    <t>G-1119</t>
  </si>
  <si>
    <t>G-1120</t>
  </si>
  <si>
    <t>G-1121</t>
  </si>
  <si>
    <t>G-1122</t>
  </si>
  <si>
    <t>G-1123</t>
  </si>
  <si>
    <t>G-1124</t>
  </si>
  <si>
    <t>G-1125</t>
  </si>
  <si>
    <t>G-1126</t>
  </si>
  <si>
    <t>G-1127</t>
  </si>
  <si>
    <t>G-1128</t>
  </si>
  <si>
    <t>G-1129</t>
  </si>
  <si>
    <t>G-1130</t>
  </si>
  <si>
    <t>G-1131</t>
  </si>
  <si>
    <t>G-1132</t>
  </si>
  <si>
    <t>G-1133</t>
  </si>
  <si>
    <t>G-1134</t>
  </si>
  <si>
    <t>G-1135</t>
  </si>
  <si>
    <t>G-1136</t>
  </si>
  <si>
    <t>G-1137</t>
  </si>
  <si>
    <t>G-1138</t>
  </si>
  <si>
    <t>G-1139</t>
  </si>
  <si>
    <t>G-1140</t>
  </si>
  <si>
    <t>G-1141</t>
  </si>
  <si>
    <t>G-1142</t>
  </si>
  <si>
    <t>G-1143</t>
  </si>
  <si>
    <t>G-1144</t>
  </si>
  <si>
    <t>G-1145</t>
  </si>
  <si>
    <t>G-1146</t>
  </si>
  <si>
    <t>G-1147</t>
  </si>
  <si>
    <t>G-1148</t>
  </si>
  <si>
    <t>G-1149</t>
  </si>
  <si>
    <t>G-1150</t>
  </si>
  <si>
    <t>G-1151</t>
  </si>
  <si>
    <t>G-1152</t>
  </si>
  <si>
    <t>G-1153</t>
  </si>
  <si>
    <t>G-1154</t>
  </si>
  <si>
    <t>G-1155</t>
  </si>
  <si>
    <t>G-1156</t>
  </si>
  <si>
    <t>G-1157</t>
  </si>
  <si>
    <t>G-1158</t>
  </si>
  <si>
    <t>G-1159</t>
  </si>
  <si>
    <t>G-1160</t>
  </si>
  <si>
    <t>G-1161</t>
  </si>
  <si>
    <t>G-1162</t>
  </si>
  <si>
    <t>G-1163</t>
  </si>
  <si>
    <t>G-1164</t>
  </si>
  <si>
    <t>G-1165</t>
  </si>
  <si>
    <t>G-1166</t>
  </si>
  <si>
    <t>G-1167</t>
  </si>
  <si>
    <t>G-1168</t>
  </si>
  <si>
    <t>G-1169</t>
  </si>
  <si>
    <t>G-1170</t>
  </si>
  <si>
    <t>G-1171</t>
  </si>
  <si>
    <t>G-1172</t>
  </si>
  <si>
    <t>G-1173</t>
  </si>
  <si>
    <t>G-1174</t>
  </si>
  <si>
    <t>G-1175</t>
  </si>
  <si>
    <t>G-1176</t>
  </si>
  <si>
    <t>G-1177</t>
  </si>
  <si>
    <t>G-1178</t>
  </si>
  <si>
    <t>G-1179</t>
  </si>
  <si>
    <t>G-1180</t>
  </si>
  <si>
    <t>G-1181</t>
  </si>
  <si>
    <t>G-1182</t>
  </si>
  <si>
    <t>G-1183</t>
  </si>
  <si>
    <t>G-1184</t>
  </si>
  <si>
    <t>Cyber Security</t>
  </si>
  <si>
    <t>G-1185</t>
  </si>
  <si>
    <t>G-1186</t>
  </si>
  <si>
    <t>G-1187</t>
  </si>
  <si>
    <t>G-1188</t>
  </si>
  <si>
    <t>G-1189</t>
  </si>
  <si>
    <t>G-1190</t>
  </si>
  <si>
    <t>G-1191</t>
  </si>
  <si>
    <t>G-1192</t>
  </si>
  <si>
    <t>G-1193</t>
  </si>
  <si>
    <t>G-1194</t>
  </si>
  <si>
    <t>G-1195</t>
  </si>
  <si>
    <t>G-1196</t>
  </si>
  <si>
    <t>G-1197</t>
  </si>
  <si>
    <t>G-1198</t>
  </si>
  <si>
    <t>G-1199</t>
  </si>
  <si>
    <t>G-1200</t>
  </si>
  <si>
    <t>G-1201</t>
  </si>
  <si>
    <t>G-1202</t>
  </si>
  <si>
    <t>G-1203</t>
  </si>
  <si>
    <t>G-1204</t>
  </si>
  <si>
    <t>G-1205</t>
  </si>
  <si>
    <t>G-1206</t>
  </si>
  <si>
    <t>G-1207</t>
  </si>
  <si>
    <t>G-1208</t>
  </si>
  <si>
    <t>G-1209</t>
  </si>
  <si>
    <t>G-1210</t>
  </si>
  <si>
    <t>G-1211</t>
  </si>
  <si>
    <t>G-1212</t>
  </si>
  <si>
    <t>G-1213</t>
  </si>
  <si>
    <t>G-1214</t>
  </si>
  <si>
    <t>G-1215</t>
  </si>
  <si>
    <t>G-1216</t>
  </si>
  <si>
    <t>G-1217</t>
  </si>
  <si>
    <t>G-1218</t>
  </si>
  <si>
    <t>G-1219</t>
  </si>
  <si>
    <t>G-1220</t>
  </si>
  <si>
    <t>G-1221</t>
  </si>
  <si>
    <t>G-1222</t>
  </si>
  <si>
    <t>G-1223</t>
  </si>
  <si>
    <t>G-1224</t>
  </si>
  <si>
    <t>G-1225</t>
  </si>
  <si>
    <t>G-1226</t>
  </si>
  <si>
    <t>G-1227</t>
  </si>
  <si>
    <t>G-1228</t>
  </si>
  <si>
    <t>G-1229</t>
  </si>
  <si>
    <t>G-1230</t>
  </si>
  <si>
    <t>G-1231</t>
  </si>
  <si>
    <t>G-1232</t>
  </si>
  <si>
    <t>G-1233</t>
  </si>
  <si>
    <t>G-1234</t>
  </si>
  <si>
    <t>G-1235</t>
  </si>
  <si>
    <t>G-1236</t>
  </si>
  <si>
    <t>G-1237</t>
  </si>
  <si>
    <t>G-1238</t>
  </si>
  <si>
    <t>G-1239</t>
  </si>
  <si>
    <t>G-1240</t>
  </si>
  <si>
    <t>G-1241</t>
  </si>
  <si>
    <t>G-1242</t>
  </si>
  <si>
    <t>G-1243</t>
  </si>
  <si>
    <t>G-1244</t>
  </si>
  <si>
    <t>G-1245</t>
  </si>
  <si>
    <t>G-1246</t>
  </si>
  <si>
    <t>UI/UX</t>
  </si>
  <si>
    <t>G-1247</t>
  </si>
  <si>
    <t>G-1248</t>
  </si>
  <si>
    <t>G-1249</t>
  </si>
  <si>
    <t>G-1250</t>
  </si>
  <si>
    <t>G-1251</t>
  </si>
  <si>
    <t>G-1252</t>
  </si>
  <si>
    <t>G-1253</t>
  </si>
  <si>
    <t>G-1254</t>
  </si>
  <si>
    <t>G-1255</t>
  </si>
  <si>
    <t>G-1256</t>
  </si>
  <si>
    <t>G-1257</t>
  </si>
  <si>
    <t>G-1258</t>
  </si>
  <si>
    <t>G-1259</t>
  </si>
  <si>
    <t>G-1260</t>
  </si>
  <si>
    <t>G-1261</t>
  </si>
  <si>
    <t>G-1262</t>
  </si>
  <si>
    <t>G-1263</t>
  </si>
  <si>
    <t>G-1264</t>
  </si>
  <si>
    <t>G-1265</t>
  </si>
  <si>
    <t>G-1266</t>
  </si>
  <si>
    <t>G-1267</t>
  </si>
  <si>
    <t>G-1268</t>
  </si>
  <si>
    <t>G-1269</t>
  </si>
  <si>
    <t>G-1270</t>
  </si>
  <si>
    <t>G-1271</t>
  </si>
  <si>
    <t>G-1272</t>
  </si>
  <si>
    <t>G-1273</t>
  </si>
  <si>
    <t>G-1274</t>
  </si>
  <si>
    <t>G-1275</t>
  </si>
  <si>
    <t>G-1276</t>
  </si>
  <si>
    <t>G-1277</t>
  </si>
  <si>
    <t>G-1278</t>
  </si>
  <si>
    <t>G-1279</t>
  </si>
  <si>
    <t>G-1280</t>
  </si>
  <si>
    <t>G-1281</t>
  </si>
  <si>
    <t>G-1282</t>
  </si>
  <si>
    <t>G-1283</t>
  </si>
  <si>
    <t>G-1284</t>
  </si>
  <si>
    <t>G-1285</t>
  </si>
  <si>
    <t>G-1286</t>
  </si>
  <si>
    <t>G-1287</t>
  </si>
  <si>
    <t>G-1288</t>
  </si>
  <si>
    <t>G-1289</t>
  </si>
  <si>
    <t>G-1290</t>
  </si>
  <si>
    <t>G-1291</t>
  </si>
  <si>
    <t>G-1292</t>
  </si>
  <si>
    <t>G-1293</t>
  </si>
  <si>
    <t>G-1294</t>
  </si>
  <si>
    <t>G-1295</t>
  </si>
  <si>
    <t>G-1296</t>
  </si>
  <si>
    <t>G-1297</t>
  </si>
  <si>
    <t>G-1298</t>
  </si>
  <si>
    <t>G-1299</t>
  </si>
  <si>
    <t>G-1300</t>
  </si>
  <si>
    <t>date</t>
  </si>
  <si>
    <t>lab</t>
  </si>
  <si>
    <t>tickets_logged</t>
  </si>
  <si>
    <t>2025-09-01</t>
  </si>
  <si>
    <t>Lab C</t>
  </si>
  <si>
    <t>2025-09-02</t>
  </si>
  <si>
    <t>2025-09-03</t>
  </si>
  <si>
    <t>Lab A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</si>
  <si>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</si>
  <si>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</si>
  <si>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</si>
  <si>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</si>
  <si>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</si>
  <si>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</si>
  <si>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</si>
  <si>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Lab B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</si>
  <si>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</si>
  <si>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</si>
  <si>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</si>
  <si>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</si>
  <si>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</si>
  <si>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</si>
  <si>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</si>
  <si>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</si>
  <si>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</si>
  <si>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</si>
  <si>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</si>
  <si>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</si>
  <si>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</si>
  <si>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</si>
  <si>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</si>
  <si>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</si>
  <si>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</si>
  <si>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</si>
  <si>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</si>
  <si>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</si>
  <si>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</si>
  <si>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</si>
  <si>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</si>
  <si>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</si>
  <si>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</si>
  <si>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</si>
  <si>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</si>
  <si>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</si>
  <si>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</si>
  <si>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</si>
  <si>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</si>
  <si>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</si>
  <si>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</si>
  <si>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</si>
  <si>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</si>
  <si>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</si>
  <si>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</si>
  <si>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</si>
  <si>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</si>
  <si>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</si>
  <si>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</si>
  <si>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</si>
  <si>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</si>
  <si>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</si>
  <si>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</si>
  <si>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</si>
  <si>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</si>
  <si>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</si>
  <si>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</si>
  <si>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</si>
  <si>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</si>
  <si>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</si>
  <si>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</si>
  <si>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</si>
  <si>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</si>
  <si>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</si>
  <si>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</si>
  <si>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</si>
  <si>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</si>
  <si>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</si>
  <si>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</si>
  <si>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</si>
  <si>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</si>
  <si>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</si>
  <si>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</si>
  <si>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</si>
  <si>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</si>
  <si>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</si>
  <si>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</si>
  <si>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</si>
  <si>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</si>
  <si>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</si>
  <si>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</si>
  <si>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</si>
  <si>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</si>
  <si>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</si>
  <si>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</si>
  <si>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</si>
  <si>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</si>
  <si>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</si>
  <si>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</si>
  <si>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</si>
  <si>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</si>
  <si>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</si>
  <si>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</si>
  <si>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</si>
  <si>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</si>
  <si>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</si>
  <si>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</si>
  <si>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</si>
  <si>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</si>
  <si>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</si>
  <si>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</si>
  <si>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</si>
  <si>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</si>
  <si>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</si>
  <si>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</si>
  <si>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</si>
  <si>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</si>
  <si>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</si>
  <si>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</si>
  <si>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</si>
  <si>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</si>
  <si>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</si>
  <si>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</si>
  <si>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</si>
  <si>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</si>
  <si>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</si>
  <si>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</si>
  <si>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</si>
  <si>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</si>
  <si>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</si>
  <si>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</si>
  <si>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</si>
  <si>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</si>
  <si>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</si>
  <si>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</si>
  <si>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</si>
  <si>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</si>
  <si>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</si>
  <si>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</si>
  <si>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</si>
  <si>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</si>
  <si>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</si>
  <si>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</si>
  <si>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</si>
  <si>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</si>
  <si>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</si>
  <si>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</si>
  <si>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</si>
  <si>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</si>
  <si>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</si>
  <si>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</si>
  <si>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</si>
  <si>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</si>
  <si>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</si>
  <si>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</si>
  <si>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</si>
  <si>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</si>
  <si>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</si>
  <si>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</si>
  <si>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</si>
  <si>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</si>
  <si>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</si>
  <si>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</si>
  <si>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</si>
  <si>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</si>
  <si>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</si>
  <si>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</si>
  <si>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</si>
  <si>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</si>
  <si>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</si>
  <si>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</si>
  <si>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</si>
  <si>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</si>
  <si>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</si>
  <si>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</si>
  <si>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</si>
  <si>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</si>
  <si>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</si>
  <si>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</si>
  <si>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</si>
  <si>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</si>
  <si>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</si>
  <si>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</si>
  <si>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</si>
  <si>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</si>
  <si>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</si>
  <si>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</si>
  <si>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</si>
  <si>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Part</t>
  </si>
  <si>
    <t>Question</t>
  </si>
  <si>
    <t>Your answer</t>
  </si>
  <si>
    <t>Formula / assumption you relied on</t>
  </si>
  <si>
    <t>Distribution Shape</t>
  </si>
  <si>
    <t>E1</t>
  </si>
  <si>
    <t>Holds (yes)</t>
  </si>
  <si>
    <t>Each graduate has a fixed number of interviews attended (n).</t>
  </si>
  <si>
    <t>Each trial results in either an Offer (Success) or No Offer (Failure).</t>
  </si>
  <si>
    <t>Does not fully hold (Questionable)</t>
  </si>
  <si>
    <t>Student abilities differ, so success probability p is not constant across graduates</t>
  </si>
  <si>
    <t>Performance in one interview may affect confidence or outcomes in subsequent ones.</t>
  </si>
  <si>
    <t>Model Impact</t>
  </si>
  <si>
    <t>Under-predicts extremes</t>
  </si>
  <si>
    <t>Non-constant p leads to under-predicting the proportion of graduates with zero offers.</t>
  </si>
  <si>
    <r>
      <rPr>
        <b/>
        <sz val="10"/>
        <rFont val="Arial"/>
        <family val="2"/>
      </rPr>
      <t>Condition 4:</t>
    </r>
    <r>
      <rPr>
        <sz val="10"/>
        <rFont val="Arial"/>
      </rPr>
      <t xml:space="preserve"> Independent trials</t>
    </r>
  </si>
  <si>
    <r>
      <rPr>
        <b/>
        <sz val="10"/>
        <rFont val="Arial"/>
        <family val="2"/>
      </rPr>
      <t>Condition 3:</t>
    </r>
    <r>
      <rPr>
        <sz val="10"/>
        <rFont val="Arial"/>
      </rPr>
      <t xml:space="preserve"> Constant p</t>
    </r>
  </si>
  <si>
    <r>
      <rPr>
        <b/>
        <sz val="10"/>
        <rFont val="Arial"/>
        <family val="2"/>
      </rPr>
      <t>Condition 2:</t>
    </r>
    <r>
      <rPr>
        <sz val="10"/>
        <rFont val="Arial"/>
      </rPr>
      <t xml:space="preserve"> two outcomes</t>
    </r>
  </si>
  <si>
    <r>
      <rPr>
        <b/>
        <sz val="10"/>
        <rFont val="Arial"/>
        <family val="2"/>
      </rPr>
      <t>Condition1:</t>
    </r>
    <r>
      <rPr>
        <sz val="10"/>
        <rFont val="Arial"/>
      </rPr>
      <t xml:space="preserve"> Fixed n </t>
    </r>
  </si>
  <si>
    <t>Estimated p</t>
  </si>
  <si>
    <t>SUM(offers)/SUM(interviews) = 480 / 1646</t>
  </si>
  <si>
    <t>E2.1</t>
  </si>
  <si>
    <t>E2.2</t>
  </si>
  <si>
    <t>P(X = 2) for n = 6</t>
  </si>
  <si>
    <t>BINOM.DIST(2, 6, 0.292, FALSE)</t>
  </si>
  <si>
    <t>E2.3</t>
  </si>
  <si>
    <t>P(X = 0) for n = 6</t>
  </si>
  <si>
    <t>BINOM.DIST(0, 6, 0.292, FALSE)</t>
  </si>
  <si>
    <t>E2.4</t>
  </si>
  <si>
    <t>P(X &gt;= 1) for n = 6</t>
  </si>
  <si>
    <t>E2.5</t>
  </si>
  <si>
    <t>Mean (n=6)</t>
  </si>
  <si>
    <t>Variance (n=6)</t>
  </si>
  <si>
    <t>E(X) = n * p = 6 * 0.292</t>
  </si>
  <si>
    <t>Var(X) = n * p * (1 - p) = 6 * 0.292 * (1 - 0.292)</t>
  </si>
  <si>
    <t xml:space="preserve">1 - BINOM.DIST(0, 6, 0.292, FALSE) </t>
  </si>
  <si>
    <t>E3.1</t>
  </si>
  <si>
    <t>Right-skewed (Positively skewed)</t>
  </si>
  <si>
    <t>Standard rule: Binomial distribution is right-skewed when p &lt; 0.5   &gt;&gt;&gt;&gt;&gt;(p = 0.292$).</t>
  </si>
  <si>
    <t>Observed proportion of 0 offers</t>
  </si>
  <si>
    <t>E3.2</t>
  </si>
  <si>
    <t>COUNTIF(offers, 0) / 300 = 66 / 300</t>
  </si>
  <si>
    <t>E3.3</t>
  </si>
  <si>
    <t>Reason for model under-prediction</t>
  </si>
  <si>
    <t>Variation in student quality</t>
  </si>
  <si>
    <r>
      <t>p</t>
    </r>
    <r>
      <rPr>
        <sz val="11"/>
        <color theme="1"/>
        <rFont val="Calibri"/>
        <family val="2"/>
        <scheme val="minor"/>
      </rPr>
      <t xml:space="preserve"> is not constant; weaker candidates get shut out more often than a pooled-</t>
    </r>
    <r>
      <rPr>
        <sz val="11"/>
        <color theme="1"/>
        <rFont val="Arial"/>
        <family val="2"/>
      </rPr>
      <t>p</t>
    </r>
    <r>
      <rPr>
        <sz val="11"/>
        <color theme="1"/>
        <rFont val="Calibri"/>
        <family val="2"/>
        <scheme val="minor"/>
      </rPr>
      <t xml:space="preserve"> model expects.</t>
    </r>
  </si>
  <si>
    <t>Offers(x)</t>
  </si>
  <si>
    <t>Binomial Model Theory</t>
  </si>
  <si>
    <t>Observed Actual</t>
  </si>
  <si>
    <r>
      <rPr>
        <b/>
        <sz val="11"/>
        <color rgb="FFFF0000"/>
        <rFont val="Arial"/>
        <family val="2"/>
      </rPr>
      <t>Model Limitation:</t>
    </r>
    <r>
      <rPr>
        <sz val="11"/>
        <color theme="1"/>
        <rFont val="Arial"/>
        <family val="2"/>
      </rPr>
      <t xml:space="preserve"> Standard Binomial pooling under-predicts tail events when individual success probabilities are non-uniform.</t>
    </r>
  </si>
  <si>
    <r>
      <rPr>
        <b/>
        <sz val="11"/>
        <color rgb="FFFF0000"/>
        <rFont val="Arial"/>
        <family val="2"/>
      </rPr>
      <t>Core Issue:</t>
    </r>
    <r>
      <rPr>
        <sz val="11"/>
        <color theme="1"/>
        <rFont val="Arial"/>
        <family val="2"/>
      </rPr>
      <t xml:space="preserve"> Violation of Constant Success Probability (p).</t>
    </r>
  </si>
  <si>
    <r>
      <rPr>
        <b/>
        <sz val="11"/>
        <color rgb="FFFF0000"/>
        <rFont val="Arial"/>
        <family val="2"/>
      </rPr>
      <t>Real-World Impact:</t>
    </r>
    <r>
      <rPr>
        <b/>
        <sz val="11"/>
        <color theme="1"/>
        <rFont val="Arial"/>
        <family val="2"/>
      </rPr>
      <t xml:space="preserve"> Because students have different skill levels, lower-skilled candidates get zero offers much more often in reality (22%) than the theoretical model predicts (12.6%)</t>
    </r>
  </si>
  <si>
    <t xml:space="preserve">Bionomical Model VS Actual Offers </t>
  </si>
  <si>
    <t>F1.1</t>
  </si>
  <si>
    <t xml:space="preserve">Mean of Tickets </t>
  </si>
  <si>
    <t xml:space="preserve">Variance of Tickets </t>
  </si>
  <si>
    <t>AVERAGE(tickets_logged)</t>
  </si>
  <si>
    <t>VAR.S(tickets_logged)</t>
  </si>
  <si>
    <t>F1.2</t>
  </si>
  <si>
    <t>Does dataset look Poisson?</t>
  </si>
  <si>
    <t>Yes</t>
  </si>
  <si>
    <t>Mean approximatily equal Variance , meeting the Poisson signature.</t>
  </si>
  <si>
    <t>F1.3</t>
  </si>
  <si>
    <t>Independence Condition</t>
  </si>
  <si>
    <t>Holds generally, fails during outages</t>
  </si>
  <si>
    <t>A major system or server outage creates a surge of dependent tickets.</t>
  </si>
  <si>
    <t>F2.1</t>
  </si>
  <si>
    <t>P(X = 2) for lambda = 3.7</t>
  </si>
  <si>
    <t>POISSON.DIST(2, 3.7, FALSE)</t>
  </si>
  <si>
    <t>F2.2</t>
  </si>
  <si>
    <t>P(X = 0) for lambda = 3.7</t>
  </si>
  <si>
    <t>F2.3</t>
  </si>
  <si>
    <t>P(X &gt;= 2) for lambda = 3.7</t>
  </si>
  <si>
    <t>1 - POISSON.DIST(1, 3.7, TRUE)</t>
  </si>
  <si>
    <t>POISSON.DIST(0;3.7;FALSE)</t>
  </si>
  <si>
    <t>F2.4</t>
  </si>
  <si>
    <t>P(X &gt; 6) &amp; Days exceeding capacity</t>
  </si>
  <si>
    <t>1 - POISSON.DIST(6, 3.7, TRUE)</t>
  </si>
  <si>
    <t>Tickets(x)</t>
  </si>
  <si>
    <t>Poisson Probability</t>
  </si>
  <si>
    <t>Status</t>
  </si>
  <si>
    <t>Within Capacity</t>
  </si>
  <si>
    <t>Exceeds Capacity</t>
  </si>
  <si>
    <t>F3.1</t>
  </si>
  <si>
    <t>Staffing Recommendation</t>
  </si>
  <si>
    <t>Do not hire full-time staff; use on-call coverage for peak days.</t>
  </si>
  <si>
    <t>Current capacity (6 tickets/day) covers ~91.8% of days, with only ~15 peak days exceeding capacity per 180 days.</t>
  </si>
  <si>
    <t>F3.2</t>
  </si>
  <si>
    <t>Key Assumption</t>
  </si>
  <si>
    <t>Ticket occurrences remain independent with constant mean rate (lambda = 3.7)</t>
  </si>
  <si>
    <t>Assumes standard daily operation without catastrophic network/system outages</t>
  </si>
  <si>
    <t>F3.3</t>
  </si>
  <si>
    <t>Operational Decision</t>
  </si>
  <si>
    <t>Maintain current 6-ticket daily limit and implement flexible overtime.</t>
  </si>
  <si>
    <t>Cost-effective strategy that maintains SLA performance without adding permanent salary overhead.</t>
  </si>
  <si>
    <r>
      <rPr>
        <b/>
        <sz val="12"/>
        <color rgb="FFFF0000"/>
        <rFont val="Calibri"/>
        <family val="2"/>
        <scheme val="minor"/>
      </rPr>
      <t>key Insight</t>
    </r>
    <r>
      <rPr>
        <b/>
        <sz val="12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Current capacity covers </t>
    </r>
    <r>
      <rPr>
        <b/>
        <sz val="12"/>
        <color theme="1"/>
        <rFont val="Calibri"/>
        <family val="2"/>
        <scheme val="minor"/>
      </rPr>
      <t>92%</t>
    </r>
    <r>
      <rPr>
        <sz val="12"/>
        <color theme="1"/>
        <rFont val="Calibri"/>
        <family val="2"/>
        <scheme val="minor"/>
      </rPr>
      <t xml:space="preserve"> of operational days, but an </t>
    </r>
    <r>
      <rPr>
        <b/>
        <sz val="12"/>
        <color theme="1"/>
        <rFont val="Calibri"/>
        <family val="2"/>
        <scheme val="minor"/>
      </rPr>
      <t>on-call system</t>
    </r>
    <r>
      <rPr>
        <sz val="12"/>
        <color theme="1"/>
        <rFont val="Calibri"/>
        <family val="2"/>
        <scheme val="minor"/>
      </rPr>
      <t xml:space="preserve"> is needed to handle the </t>
    </r>
    <r>
      <rPr>
        <b/>
        <sz val="12"/>
        <color theme="1"/>
        <rFont val="Calibri"/>
        <family val="2"/>
        <scheme val="minor"/>
      </rPr>
      <t>15 peak days</t>
    </r>
    <r>
      <rPr>
        <sz val="12"/>
        <color theme="1"/>
        <rFont val="Calibri"/>
        <family val="2"/>
        <scheme val="minor"/>
      </rPr>
      <t xml:space="preserve"> that exceed 6 tickets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</si>
</sst>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4"/>
      <color rgb="FF1F3864"/>
      <name val="Arial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20"/>
      <color rgb="FFFF0000"/>
      <name val="Calibri"/>
      <family val="2"/>
      <scheme val="minor"/>
    </font>
    <font>
      <sz val="10"/>
      <color theme="1"/>
      <name val="Arial"/>
      <family val="2"/>
      <charset val="17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5" fillId="0" borderId="0" xfId="0" applyFont="1"/>
    <xf numFmtId="0" fontId="10" fillId="0" borderId="0" xfId="0" applyFont="1"/>
    <xf numFmtId="0" fontId="0" fillId="0" borderId="0" xfId="0" applyAlignment="1">
      <alignment vertical="center"/>
    </xf>
    <xf numFmtId="0" fontId="13" fillId="0" borderId="0" xfId="0" applyFont="1"/>
    <xf numFmtId="0" fontId="3" fillId="7" borderId="0" xfId="0" applyFont="1" applyFill="1" applyBorder="1" applyAlignment="1">
      <alignment vertical="top" wrapText="1"/>
    </xf>
    <xf numFmtId="0" fontId="3" fillId="7" borderId="0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14" fillId="8" borderId="1" xfId="0" applyFont="1" applyFill="1" applyBorder="1" applyAlignment="1">
      <alignment horizontal="left" vertical="center" wrapText="1" indent="1"/>
    </xf>
    <xf numFmtId="0" fontId="1" fillId="8" borderId="1" xfId="0" applyFont="1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left"/>
    </xf>
    <xf numFmtId="0" fontId="11" fillId="0" borderId="0" xfId="0" applyFont="1" applyAlignment="1"/>
    <xf numFmtId="0" fontId="8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5" fillId="8" borderId="1" xfId="0" applyFont="1" applyFill="1" applyBorder="1"/>
    <xf numFmtId="0" fontId="3" fillId="3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8" fillId="9" borderId="1" xfId="0" applyFont="1" applyFill="1" applyBorder="1" applyAlignment="1">
      <alignment vertical="top" wrapText="1"/>
    </xf>
    <xf numFmtId="0" fontId="5" fillId="4" borderId="1" xfId="0" applyFon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3" fillId="9" borderId="1" xfId="0" applyFont="1" applyFill="1" applyBorder="1" applyAlignment="1">
      <alignment vertical="top" wrapText="1"/>
    </xf>
    <xf numFmtId="0" fontId="5" fillId="9" borderId="1" xfId="0" applyFont="1" applyFill="1" applyBorder="1"/>
    <xf numFmtId="0" fontId="9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6" borderId="1" xfId="0" applyFill="1" applyBorder="1"/>
    <xf numFmtId="0" fontId="3" fillId="6" borderId="1" xfId="0" applyFont="1" applyFill="1" applyBorder="1" applyAlignment="1">
      <alignment horizontal="left" vertical="top" wrapText="1"/>
    </xf>
    <xf numFmtId="9" fontId="3" fillId="6" borderId="1" xfId="1" applyFont="1" applyFill="1" applyBorder="1" applyAlignment="1">
      <alignment horizontal="left" vertical="top" wrapText="1"/>
    </xf>
    <xf numFmtId="9" fontId="0" fillId="6" borderId="1" xfId="1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/>
    <xf numFmtId="0" fontId="10" fillId="6" borderId="1" xfId="0" applyFont="1" applyFill="1" applyBorder="1" applyAlignment="1">
      <alignment horizontal="left"/>
    </xf>
    <xf numFmtId="0" fontId="0" fillId="0" borderId="0" xfId="0" applyFont="1"/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CC3399"/>
      <color rgb="FFEF81C5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Myr_answers!$K$7</c:f>
              <c:strCache>
                <c:ptCount val="1"/>
                <c:pt idx="0">
                  <c:v>Binomial Model Theory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Myr_answers!$K$8:$K$14</c:f>
              <c:numCache>
                <c:formatCode>0.00000</c:formatCode>
                <c:ptCount val="7"/>
                <c:pt idx="0">
                  <c:v>0.12595039856348775</c:v>
                </c:pt>
                <c:pt idx="1">
                  <c:v>0.31167386763168153</c:v>
                </c:pt>
                <c:pt idx="2">
                  <c:v>0.32135864882927617</c:v>
                </c:pt>
                <c:pt idx="3">
                  <c:v>0.1767169970963251</c:v>
                </c:pt>
                <c:pt idx="4">
                  <c:v>5.466246096623617E-2</c:v>
                </c:pt>
                <c:pt idx="5">
                  <c:v>9.0177619221135374E-3</c:v>
                </c:pt>
                <c:pt idx="6">
                  <c:v>6.1986499087974373E-4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8-4FD6-B555-FBCD32B40AEF}"/>
            </c:ext>
          </c:extLst>
        </c:ser>
        <c:ser>
          <c:idx val="1"/>
          <c:order val="1"/>
          <c:tx>
            <c:strRef>
              <c:f>Myr_answers!$L$7</c:f>
              <c:strCache>
                <c:ptCount val="1"/>
                <c:pt idx="0">
                  <c:v>Observed 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Myr_answers!$L$8:$L$14</c:f>
              <c:numCache>
                <c:formatCode>0.00000</c:formatCode>
                <c:ptCount val="7"/>
                <c:pt idx="0">
                  <c:v>0.22</c:v>
                </c:pt>
                <c:pt idx="1">
                  <c:v>0.32</c:v>
                </c:pt>
                <c:pt idx="2">
                  <c:v>0.22666666666666666</c:v>
                </c:pt>
                <c:pt idx="3">
                  <c:v>0.14333333333333334</c:v>
                </c:pt>
                <c:pt idx="4">
                  <c:v>6.3333333333333339E-2</c:v>
                </c:pt>
                <c:pt idx="5">
                  <c:v>0.02</c:v>
                </c:pt>
                <c:pt idx="6">
                  <c:v>3.3333333333333335E-3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8-4FD6-B555-FBCD32B4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585333608"/>
        <c:axId val="585332296"/>
      </c:barChart>
      <c:catAx>
        <c:axId val="585333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32296"/>
        <c:crosses val="autoZero"/>
        <c:auto val="1"/>
        <c:lblAlgn val="ctr"/>
        <c:lblOffset val="100"/>
        <c:noMultiLvlLbl val="0"/>
      </c:catAx>
      <c:valAx>
        <c:axId val="58533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3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Myr_answers!$G$19</c:f>
              <c:strCache>
                <c:ptCount val="1"/>
                <c:pt idx="0">
                  <c:v>Poisson 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65-4183-81EE-B64ED27E8EB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D65-4183-81EE-B64ED27E8EB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65-4183-81EE-B64ED27E8EB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D65-4183-81EE-B64ED27E8E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Myr_answers!$F$20:$F$30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Myr_answers!$G$20:$G$30</c:f>
              <c:numCache>
                <c:formatCode>0.00000</c:formatCode>
                <c:ptCount val="11"/>
                <c:pt idx="0">
                  <c:v>2.4723526470339388E-2</c:v>
                </c:pt>
                <c:pt idx="1">
                  <c:v>9.147704794025574E-2</c:v>
                </c:pt>
                <c:pt idx="2">
                  <c:v>0.16923253868947319</c:v>
                </c:pt>
                <c:pt idx="3">
                  <c:v>0.20872013105035023</c:v>
                </c:pt>
                <c:pt idx="4">
                  <c:v>0.19306612122157396</c:v>
                </c:pt>
                <c:pt idx="5">
                  <c:v>0.1428689297039647</c:v>
                </c:pt>
                <c:pt idx="6">
                  <c:v>8.8102506650778248E-2</c:v>
                </c:pt>
                <c:pt idx="7">
                  <c:v>4.6568467801125626E-2</c:v>
                </c:pt>
                <c:pt idx="8">
                  <c:v>2.1537916358020638E-2</c:v>
                </c:pt>
                <c:pt idx="9">
                  <c:v>8.8544767249640211E-3</c:v>
                </c:pt>
                <c:pt idx="10">
                  <c:v>3.276156388236692E-3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5-4183-81EE-B64ED27E8E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overlap val="-27"/>
        <c:axId val="586377152"/>
        <c:axId val="586374200"/>
      </c:barChart>
      <c:catAx>
        <c:axId val="58637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74200"/>
        <c:crosses val="autoZero"/>
        <c:auto val="1"/>
        <c:lblAlgn val="ctr"/>
        <c:lblOffset val="100"/>
        <c:noMultiLvlLbl val="0"/>
      </c:catAx>
      <c:valAx>
        <c:axId val="58637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7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403412</xdr:colOff>
      <xdr:row>0</xdr:row>
      <xdr:rowOff>304118</xdr:rowOff>
    </xdr:from>
    <xdr:to>
      <xdr:col>23</xdr:col>
      <xdr:colOff>358589</xdr:colOff>
      <xdr:row>14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450119-4BA3-4114-A0CA-2573D7CCF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585375</xdr:colOff>
      <xdr:row>18</xdr:row>
      <xdr:rowOff>241441</xdr:rowOff>
    </xdr:from>
    <xdr:to>
      <xdr:col>15</xdr:col>
      <xdr:colOff>512205</xdr:colOff>
      <xdr:row>39</xdr:row>
      <xdr:rowOff>175054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195DAA-0214-4D13-9521-E6853BCF6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8.88671875" customWidth="1"/>
    <col min="2" max="2" width="18" customWidth="1"/>
    <col min="3" max="3" width="17" customWidth="1"/>
    <col min="4" max="4" width="18" customWidth="1"/>
    <col min="5" max="5" width="12" customWidth="1"/>
    <col min="6" max="6" width="9" customWidth="1"/>
    <col min="7" max="7" width="20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>
        <v>73.2</v>
      </c>
      <c r="D2" s="2">
        <v>16.8</v>
      </c>
      <c r="E2" s="2">
        <v>7</v>
      </c>
      <c r="F2" s="2">
        <v>5</v>
      </c>
      <c r="G2" s="2">
        <v>69</v>
      </c>
    </row>
    <row r="3" spans="1:7" x14ac:dyDescent="0.3">
      <c r="A3" s="2" t="s">
        <v>9</v>
      </c>
      <c r="B3" s="2" t="s">
        <v>8</v>
      </c>
      <c r="C3" s="2">
        <v>77.5</v>
      </c>
      <c r="D3" s="2">
        <v>16.399999999999999</v>
      </c>
      <c r="E3" s="2">
        <v>6</v>
      </c>
      <c r="F3" s="2">
        <v>2</v>
      </c>
      <c r="G3" s="2">
        <v>43</v>
      </c>
    </row>
    <row r="4" spans="1:7" x14ac:dyDescent="0.3">
      <c r="A4" s="2" t="s">
        <v>10</v>
      </c>
      <c r="B4" s="2" t="s">
        <v>8</v>
      </c>
      <c r="C4" s="2">
        <v>88.9</v>
      </c>
      <c r="D4" s="2">
        <v>12.2</v>
      </c>
      <c r="E4" s="2">
        <v>7</v>
      </c>
      <c r="F4" s="2">
        <v>4</v>
      </c>
      <c r="G4" s="2">
        <v>23</v>
      </c>
    </row>
    <row r="5" spans="1:7" x14ac:dyDescent="0.3">
      <c r="A5" s="2" t="s">
        <v>11</v>
      </c>
      <c r="B5" s="2" t="s">
        <v>8</v>
      </c>
      <c r="C5" s="2">
        <v>74.900000000000006</v>
      </c>
      <c r="D5" s="2">
        <v>13.3</v>
      </c>
      <c r="E5" s="2">
        <v>6</v>
      </c>
      <c r="F5" s="2">
        <v>1</v>
      </c>
      <c r="G5" s="2">
        <v>174</v>
      </c>
    </row>
    <row r="6" spans="1:7" x14ac:dyDescent="0.3">
      <c r="A6" s="2" t="s">
        <v>12</v>
      </c>
      <c r="B6" s="2" t="s">
        <v>8</v>
      </c>
      <c r="C6" s="2">
        <v>93.4</v>
      </c>
      <c r="D6" s="2">
        <v>45.2</v>
      </c>
      <c r="E6" s="2">
        <v>5</v>
      </c>
      <c r="F6" s="2">
        <v>3</v>
      </c>
      <c r="G6" s="2">
        <v>59</v>
      </c>
    </row>
    <row r="7" spans="1:7" x14ac:dyDescent="0.3">
      <c r="A7" s="2" t="s">
        <v>13</v>
      </c>
      <c r="B7" s="2" t="s">
        <v>8</v>
      </c>
      <c r="C7" s="2">
        <v>74.7</v>
      </c>
      <c r="D7" s="2">
        <v>11.1</v>
      </c>
      <c r="E7" s="2">
        <v>4</v>
      </c>
      <c r="F7" s="2">
        <v>1</v>
      </c>
      <c r="G7" s="2">
        <v>58</v>
      </c>
    </row>
    <row r="8" spans="1:7" x14ac:dyDescent="0.3">
      <c r="A8" s="2" t="s">
        <v>14</v>
      </c>
      <c r="B8" s="2" t="s">
        <v>8</v>
      </c>
      <c r="C8" s="2">
        <v>79</v>
      </c>
      <c r="D8" s="2">
        <v>8.6</v>
      </c>
      <c r="E8" s="2">
        <v>2</v>
      </c>
      <c r="F8" s="2">
        <v>0</v>
      </c>
      <c r="G8" s="2">
        <v>66</v>
      </c>
    </row>
    <row r="9" spans="1:7" x14ac:dyDescent="0.3">
      <c r="A9" s="2" t="s">
        <v>15</v>
      </c>
      <c r="B9" s="2" t="s">
        <v>8</v>
      </c>
      <c r="C9" s="2">
        <v>74.099999999999994</v>
      </c>
      <c r="D9" s="2">
        <v>24</v>
      </c>
      <c r="E9" s="2">
        <v>2</v>
      </c>
      <c r="F9" s="2">
        <v>1</v>
      </c>
      <c r="G9" s="2">
        <v>29</v>
      </c>
    </row>
    <row r="10" spans="1:7" x14ac:dyDescent="0.3">
      <c r="A10" s="2" t="s">
        <v>16</v>
      </c>
      <c r="B10" s="2" t="s">
        <v>8</v>
      </c>
      <c r="C10" s="2">
        <v>80.8</v>
      </c>
      <c r="D10" s="2">
        <v>17.600000000000001</v>
      </c>
      <c r="E10" s="2">
        <v>9</v>
      </c>
      <c r="F10" s="2">
        <v>3</v>
      </c>
      <c r="G10" s="2">
        <v>36</v>
      </c>
    </row>
    <row r="11" spans="1:7" x14ac:dyDescent="0.3">
      <c r="A11" s="2" t="s">
        <v>17</v>
      </c>
      <c r="B11" s="2" t="s">
        <v>8</v>
      </c>
      <c r="C11" s="2">
        <v>71.599999999999994</v>
      </c>
      <c r="D11" s="2">
        <v>10.9</v>
      </c>
      <c r="E11" s="2">
        <v>6</v>
      </c>
      <c r="F11" s="2">
        <v>1</v>
      </c>
      <c r="G11" s="2">
        <v>67</v>
      </c>
    </row>
    <row r="12" spans="1:7" x14ac:dyDescent="0.3">
      <c r="A12" s="2" t="s">
        <v>18</v>
      </c>
      <c r="B12" s="2" t="s">
        <v>8</v>
      </c>
      <c r="C12" s="2">
        <v>73.2</v>
      </c>
      <c r="D12" s="2">
        <v>7.1</v>
      </c>
      <c r="E12" s="2">
        <v>6</v>
      </c>
      <c r="F12" s="2">
        <v>2</v>
      </c>
      <c r="G12" s="2">
        <v>100</v>
      </c>
    </row>
    <row r="13" spans="1:7" x14ac:dyDescent="0.3">
      <c r="A13" s="2" t="s">
        <v>19</v>
      </c>
      <c r="B13" s="2" t="s">
        <v>8</v>
      </c>
      <c r="C13" s="2">
        <v>73.900000000000006</v>
      </c>
      <c r="D13" s="2">
        <v>22.1</v>
      </c>
      <c r="E13" s="2">
        <v>10</v>
      </c>
      <c r="F13" s="2">
        <v>2</v>
      </c>
      <c r="G13" s="2">
        <v>85</v>
      </c>
    </row>
    <row r="14" spans="1:7" x14ac:dyDescent="0.3">
      <c r="A14" s="2" t="s">
        <v>20</v>
      </c>
      <c r="B14" s="2" t="s">
        <v>8</v>
      </c>
      <c r="C14" s="2">
        <v>72.099999999999994</v>
      </c>
      <c r="D14" s="2">
        <v>6.7</v>
      </c>
      <c r="E14" s="2">
        <v>4</v>
      </c>
      <c r="F14" s="2">
        <v>2</v>
      </c>
      <c r="G14" s="2">
        <v>126</v>
      </c>
    </row>
    <row r="15" spans="1:7" x14ac:dyDescent="0.3">
      <c r="A15" s="2" t="s">
        <v>21</v>
      </c>
      <c r="B15" s="2" t="s">
        <v>8</v>
      </c>
      <c r="C15" s="2">
        <v>77.8</v>
      </c>
      <c r="D15" s="2">
        <v>16.5</v>
      </c>
      <c r="E15" s="2">
        <v>5</v>
      </c>
      <c r="F15" s="2">
        <v>3</v>
      </c>
      <c r="G15" s="2">
        <v>4</v>
      </c>
    </row>
    <row r="16" spans="1:7" x14ac:dyDescent="0.3">
      <c r="A16" s="2" t="s">
        <v>22</v>
      </c>
      <c r="B16" s="2" t="s">
        <v>8</v>
      </c>
      <c r="C16" s="2">
        <v>82.5</v>
      </c>
      <c r="D16" s="2">
        <v>19.100000000000001</v>
      </c>
      <c r="E16" s="2">
        <v>3</v>
      </c>
      <c r="F16" s="2">
        <v>1</v>
      </c>
      <c r="G16" s="2">
        <v>82</v>
      </c>
    </row>
    <row r="17" spans="1:7" x14ac:dyDescent="0.3">
      <c r="A17" s="2" t="s">
        <v>23</v>
      </c>
      <c r="B17" s="2" t="s">
        <v>8</v>
      </c>
      <c r="C17" s="2">
        <v>72.7</v>
      </c>
      <c r="D17" s="2">
        <v>24.9</v>
      </c>
      <c r="E17" s="2">
        <v>8</v>
      </c>
      <c r="F17" s="2">
        <v>4</v>
      </c>
      <c r="G17" s="2">
        <v>101</v>
      </c>
    </row>
    <row r="18" spans="1:7" x14ac:dyDescent="0.3">
      <c r="A18" s="2" t="s">
        <v>24</v>
      </c>
      <c r="B18" s="2" t="s">
        <v>8</v>
      </c>
      <c r="C18" s="2">
        <v>84.4</v>
      </c>
      <c r="D18" s="2">
        <v>12.1</v>
      </c>
      <c r="E18" s="2">
        <v>7</v>
      </c>
      <c r="F18" s="2">
        <v>2</v>
      </c>
      <c r="G18" s="2">
        <v>71</v>
      </c>
    </row>
    <row r="19" spans="1:7" x14ac:dyDescent="0.3">
      <c r="A19" s="2" t="s">
        <v>25</v>
      </c>
      <c r="B19" s="2" t="s">
        <v>8</v>
      </c>
      <c r="C19" s="2">
        <v>75.8</v>
      </c>
      <c r="D19" s="2">
        <v>20.2</v>
      </c>
      <c r="E19" s="2">
        <v>6</v>
      </c>
      <c r="F19" s="2">
        <v>2</v>
      </c>
      <c r="G19" s="2">
        <v>54</v>
      </c>
    </row>
    <row r="20" spans="1:7" x14ac:dyDescent="0.3">
      <c r="A20" s="2" t="s">
        <v>26</v>
      </c>
      <c r="B20" s="2" t="s">
        <v>8</v>
      </c>
      <c r="C20" s="2">
        <v>78.2</v>
      </c>
      <c r="D20" s="2">
        <v>16.399999999999999</v>
      </c>
      <c r="E20" s="2">
        <v>7</v>
      </c>
      <c r="F20" s="2">
        <v>2</v>
      </c>
      <c r="G20" s="2">
        <v>19</v>
      </c>
    </row>
    <row r="21" spans="1:7" x14ac:dyDescent="0.3">
      <c r="A21" s="2" t="s">
        <v>27</v>
      </c>
      <c r="B21" s="2" t="s">
        <v>8</v>
      </c>
      <c r="C21" s="2">
        <v>73.900000000000006</v>
      </c>
      <c r="D21" s="2">
        <v>15.8</v>
      </c>
      <c r="E21" s="2">
        <v>1</v>
      </c>
      <c r="F21" s="2">
        <v>1</v>
      </c>
      <c r="G21" s="2">
        <v>11</v>
      </c>
    </row>
    <row r="22" spans="1:7" x14ac:dyDescent="0.3">
      <c r="A22" s="2" t="s">
        <v>28</v>
      </c>
      <c r="B22" s="2" t="s">
        <v>8</v>
      </c>
      <c r="C22" s="2">
        <v>68.8</v>
      </c>
      <c r="D22" s="2">
        <v>12.6</v>
      </c>
      <c r="E22" s="2">
        <v>8</v>
      </c>
      <c r="F22" s="2">
        <v>3</v>
      </c>
      <c r="G22" s="2">
        <v>125</v>
      </c>
    </row>
    <row r="23" spans="1:7" x14ac:dyDescent="0.3">
      <c r="A23" s="2" t="s">
        <v>29</v>
      </c>
      <c r="B23" s="2" t="s">
        <v>8</v>
      </c>
      <c r="C23" s="2">
        <v>90.5</v>
      </c>
      <c r="D23" s="2">
        <v>10.199999999999999</v>
      </c>
      <c r="E23" s="2">
        <v>5</v>
      </c>
      <c r="F23" s="2">
        <v>3</v>
      </c>
      <c r="G23" s="2">
        <v>18</v>
      </c>
    </row>
    <row r="24" spans="1:7" x14ac:dyDescent="0.3">
      <c r="A24" s="2" t="s">
        <v>30</v>
      </c>
      <c r="B24" s="2" t="s">
        <v>8</v>
      </c>
      <c r="C24" s="2">
        <v>82.2</v>
      </c>
      <c r="D24" s="2">
        <v>15.1</v>
      </c>
      <c r="E24" s="2">
        <v>5</v>
      </c>
      <c r="F24" s="2">
        <v>3</v>
      </c>
      <c r="G24" s="2">
        <v>54</v>
      </c>
    </row>
    <row r="25" spans="1:7" x14ac:dyDescent="0.3">
      <c r="A25" s="2" t="s">
        <v>31</v>
      </c>
      <c r="B25" s="2" t="s">
        <v>8</v>
      </c>
      <c r="C25" s="2">
        <v>83</v>
      </c>
      <c r="D25" s="2">
        <v>32.6</v>
      </c>
      <c r="E25" s="2">
        <v>2</v>
      </c>
      <c r="F25" s="2">
        <v>0</v>
      </c>
      <c r="G25" s="2">
        <v>8</v>
      </c>
    </row>
    <row r="26" spans="1:7" x14ac:dyDescent="0.3">
      <c r="A26" s="2" t="s">
        <v>32</v>
      </c>
      <c r="B26" s="2" t="s">
        <v>8</v>
      </c>
      <c r="C26" s="2">
        <v>78.5</v>
      </c>
      <c r="D26" s="2">
        <v>12.3</v>
      </c>
      <c r="E26" s="2">
        <v>9</v>
      </c>
      <c r="F26" s="2">
        <v>5</v>
      </c>
      <c r="G26" s="2">
        <v>91</v>
      </c>
    </row>
    <row r="27" spans="1:7" x14ac:dyDescent="0.3">
      <c r="A27" s="2" t="s">
        <v>33</v>
      </c>
      <c r="B27" s="2" t="s">
        <v>8</v>
      </c>
      <c r="C27" s="2">
        <v>84.8</v>
      </c>
      <c r="D27" s="2">
        <v>25.6</v>
      </c>
      <c r="E27" s="2">
        <v>5</v>
      </c>
      <c r="F27" s="2">
        <v>2</v>
      </c>
      <c r="G27" s="2">
        <v>16</v>
      </c>
    </row>
    <row r="28" spans="1:7" x14ac:dyDescent="0.3">
      <c r="A28" s="2" t="s">
        <v>34</v>
      </c>
      <c r="B28" s="2" t="s">
        <v>8</v>
      </c>
      <c r="C28" s="2">
        <v>74.099999999999994</v>
      </c>
      <c r="D28" s="2">
        <v>17.100000000000001</v>
      </c>
      <c r="E28" s="2">
        <v>3</v>
      </c>
      <c r="F28" s="2">
        <v>1</v>
      </c>
      <c r="G28" s="2">
        <v>58</v>
      </c>
    </row>
    <row r="29" spans="1:7" x14ac:dyDescent="0.3">
      <c r="A29" s="2" t="s">
        <v>35</v>
      </c>
      <c r="B29" s="2" t="s">
        <v>8</v>
      </c>
      <c r="C29" s="2">
        <v>82.8</v>
      </c>
      <c r="D29" s="2">
        <v>17</v>
      </c>
      <c r="E29" s="2">
        <v>3</v>
      </c>
      <c r="F29" s="2">
        <v>2</v>
      </c>
      <c r="G29" s="2">
        <v>50</v>
      </c>
    </row>
    <row r="30" spans="1:7" x14ac:dyDescent="0.3">
      <c r="A30" s="2" t="s">
        <v>36</v>
      </c>
      <c r="B30" s="2" t="s">
        <v>8</v>
      </c>
      <c r="C30" s="2">
        <v>77.3</v>
      </c>
      <c r="D30" s="2">
        <v>8.5</v>
      </c>
      <c r="E30" s="2">
        <v>9</v>
      </c>
      <c r="F30" s="2">
        <v>4</v>
      </c>
      <c r="G30" s="2">
        <v>30</v>
      </c>
    </row>
    <row r="31" spans="1:7" x14ac:dyDescent="0.3">
      <c r="A31" s="2" t="s">
        <v>37</v>
      </c>
      <c r="B31" s="2" t="s">
        <v>8</v>
      </c>
      <c r="C31" s="2">
        <v>77.2</v>
      </c>
      <c r="D31" s="2">
        <v>17.100000000000001</v>
      </c>
      <c r="E31" s="2">
        <v>6</v>
      </c>
      <c r="F31" s="2">
        <v>1</v>
      </c>
      <c r="G31" s="2">
        <v>66</v>
      </c>
    </row>
    <row r="32" spans="1:7" x14ac:dyDescent="0.3">
      <c r="A32" s="2" t="s">
        <v>38</v>
      </c>
      <c r="B32" s="2" t="s">
        <v>8</v>
      </c>
      <c r="C32" s="2">
        <v>71.3</v>
      </c>
      <c r="D32" s="2">
        <v>10.1</v>
      </c>
      <c r="E32" s="2">
        <v>3</v>
      </c>
      <c r="F32" s="2">
        <v>1</v>
      </c>
      <c r="G32" s="2">
        <v>35</v>
      </c>
    </row>
    <row r="33" spans="1:7" x14ac:dyDescent="0.3">
      <c r="A33" s="2" t="s">
        <v>39</v>
      </c>
      <c r="B33" s="2" t="s">
        <v>8</v>
      </c>
      <c r="C33" s="2">
        <v>80.7</v>
      </c>
      <c r="D33" s="2">
        <v>17.899999999999999</v>
      </c>
      <c r="E33" s="2">
        <v>7</v>
      </c>
      <c r="F33" s="2">
        <v>2</v>
      </c>
      <c r="G33" s="2">
        <v>80</v>
      </c>
    </row>
    <row r="34" spans="1:7" x14ac:dyDescent="0.3">
      <c r="A34" s="2" t="s">
        <v>40</v>
      </c>
      <c r="B34" s="2" t="s">
        <v>8</v>
      </c>
      <c r="C34" s="2">
        <v>89.1</v>
      </c>
      <c r="D34" s="2">
        <v>10.7</v>
      </c>
      <c r="E34" s="2">
        <v>5</v>
      </c>
      <c r="F34" s="2">
        <v>2</v>
      </c>
      <c r="G34" s="2">
        <v>95</v>
      </c>
    </row>
    <row r="35" spans="1:7" x14ac:dyDescent="0.3">
      <c r="A35" s="2" t="s">
        <v>41</v>
      </c>
      <c r="B35" s="2" t="s">
        <v>8</v>
      </c>
      <c r="C35" s="2">
        <v>74.400000000000006</v>
      </c>
      <c r="D35" s="2">
        <v>18.399999999999999</v>
      </c>
      <c r="E35" s="2">
        <v>6</v>
      </c>
      <c r="F35" s="2">
        <v>2</v>
      </c>
      <c r="G35" s="2">
        <v>40</v>
      </c>
    </row>
    <row r="36" spans="1:7" x14ac:dyDescent="0.3">
      <c r="A36" s="2" t="s">
        <v>42</v>
      </c>
      <c r="B36" s="2" t="s">
        <v>8</v>
      </c>
      <c r="C36" s="2">
        <v>80.599999999999994</v>
      </c>
      <c r="D36" s="2">
        <v>21</v>
      </c>
      <c r="E36" s="2">
        <v>5</v>
      </c>
      <c r="F36" s="2">
        <v>0</v>
      </c>
      <c r="G36" s="2">
        <v>40</v>
      </c>
    </row>
    <row r="37" spans="1:7" x14ac:dyDescent="0.3">
      <c r="A37" s="2" t="s">
        <v>43</v>
      </c>
      <c r="B37" s="2" t="s">
        <v>8</v>
      </c>
      <c r="C37" s="2">
        <v>81.7</v>
      </c>
      <c r="D37" s="2">
        <v>24.4</v>
      </c>
      <c r="E37" s="2">
        <v>6</v>
      </c>
      <c r="F37" s="2">
        <v>3</v>
      </c>
      <c r="G37" s="2">
        <v>22</v>
      </c>
    </row>
    <row r="38" spans="1:7" x14ac:dyDescent="0.3">
      <c r="A38" s="2" t="s">
        <v>44</v>
      </c>
      <c r="B38" s="2" t="s">
        <v>8</v>
      </c>
      <c r="C38" s="2">
        <v>71.3</v>
      </c>
      <c r="D38" s="2">
        <v>16.100000000000001</v>
      </c>
      <c r="E38" s="2">
        <v>6</v>
      </c>
      <c r="F38" s="2">
        <v>4</v>
      </c>
      <c r="G38" s="2">
        <v>45</v>
      </c>
    </row>
    <row r="39" spans="1:7" x14ac:dyDescent="0.3">
      <c r="A39" s="2" t="s">
        <v>45</v>
      </c>
      <c r="B39" s="2" t="s">
        <v>8</v>
      </c>
      <c r="C39" s="2">
        <v>75.900000000000006</v>
      </c>
      <c r="D39" s="2">
        <v>24.2</v>
      </c>
      <c r="E39" s="2">
        <v>4</v>
      </c>
      <c r="F39" s="2">
        <v>1</v>
      </c>
      <c r="G39" s="2">
        <v>80</v>
      </c>
    </row>
    <row r="40" spans="1:7" x14ac:dyDescent="0.3">
      <c r="A40" s="2" t="s">
        <v>46</v>
      </c>
      <c r="B40" s="2" t="s">
        <v>8</v>
      </c>
      <c r="C40" s="2">
        <v>86.7</v>
      </c>
      <c r="D40" s="2">
        <v>21.6</v>
      </c>
      <c r="E40" s="2">
        <v>5</v>
      </c>
      <c r="F40" s="2">
        <v>2</v>
      </c>
      <c r="G40" s="2">
        <v>121</v>
      </c>
    </row>
    <row r="41" spans="1:7" x14ac:dyDescent="0.3">
      <c r="A41" s="2" t="s">
        <v>47</v>
      </c>
      <c r="B41" s="2" t="s">
        <v>8</v>
      </c>
      <c r="C41" s="2">
        <v>72.599999999999994</v>
      </c>
      <c r="D41" s="2">
        <v>17.600000000000001</v>
      </c>
      <c r="E41" s="2">
        <v>5</v>
      </c>
      <c r="F41" s="2">
        <v>3</v>
      </c>
      <c r="G41" s="2">
        <v>67</v>
      </c>
    </row>
    <row r="42" spans="1:7" x14ac:dyDescent="0.3">
      <c r="A42" s="2" t="s">
        <v>48</v>
      </c>
      <c r="B42" s="2" t="s">
        <v>8</v>
      </c>
      <c r="C42" s="2">
        <v>76.8</v>
      </c>
      <c r="D42" s="2">
        <v>9.4</v>
      </c>
      <c r="E42" s="2">
        <v>3</v>
      </c>
      <c r="F42" s="2">
        <v>1</v>
      </c>
      <c r="G42" s="2">
        <v>42</v>
      </c>
    </row>
    <row r="43" spans="1:7" x14ac:dyDescent="0.3">
      <c r="A43" s="2" t="s">
        <v>49</v>
      </c>
      <c r="B43" s="2" t="s">
        <v>8</v>
      </c>
      <c r="C43" s="2">
        <v>72.099999999999994</v>
      </c>
      <c r="D43" s="2">
        <v>15.5</v>
      </c>
      <c r="E43" s="2">
        <v>7</v>
      </c>
      <c r="F43" s="2">
        <v>1</v>
      </c>
      <c r="G43" s="2">
        <v>7</v>
      </c>
    </row>
    <row r="44" spans="1:7" x14ac:dyDescent="0.3">
      <c r="A44" s="2" t="s">
        <v>50</v>
      </c>
      <c r="B44" s="2" t="s">
        <v>8</v>
      </c>
      <c r="C44" s="2">
        <v>86.9</v>
      </c>
      <c r="D44" s="2">
        <v>16.5</v>
      </c>
      <c r="E44" s="2">
        <v>9</v>
      </c>
      <c r="F44" s="2">
        <v>2</v>
      </c>
      <c r="G44" s="2">
        <v>19</v>
      </c>
    </row>
    <row r="45" spans="1:7" x14ac:dyDescent="0.3">
      <c r="A45" s="2" t="s">
        <v>51</v>
      </c>
      <c r="B45" s="2" t="s">
        <v>8</v>
      </c>
      <c r="C45" s="2">
        <v>69.5</v>
      </c>
      <c r="D45" s="2">
        <v>16.399999999999999</v>
      </c>
      <c r="E45" s="2">
        <v>4</v>
      </c>
      <c r="F45" s="2">
        <v>0</v>
      </c>
      <c r="G45" s="2">
        <v>26</v>
      </c>
    </row>
    <row r="46" spans="1:7" x14ac:dyDescent="0.3">
      <c r="A46" s="2" t="s">
        <v>52</v>
      </c>
      <c r="B46" s="2" t="s">
        <v>8</v>
      </c>
      <c r="C46" s="2">
        <v>81</v>
      </c>
      <c r="D46" s="2">
        <v>11.6</v>
      </c>
      <c r="E46" s="2">
        <v>7</v>
      </c>
      <c r="F46" s="2">
        <v>3</v>
      </c>
      <c r="G46" s="2">
        <v>78</v>
      </c>
    </row>
    <row r="47" spans="1:7" x14ac:dyDescent="0.3">
      <c r="A47" s="2" t="s">
        <v>53</v>
      </c>
      <c r="B47" s="2" t="s">
        <v>8</v>
      </c>
      <c r="C47" s="2">
        <v>71.2</v>
      </c>
      <c r="D47" s="2">
        <v>11.2</v>
      </c>
      <c r="E47" s="2">
        <v>10</v>
      </c>
      <c r="F47" s="2">
        <v>3</v>
      </c>
      <c r="G47" s="2">
        <v>19</v>
      </c>
    </row>
    <row r="48" spans="1:7" x14ac:dyDescent="0.3">
      <c r="A48" s="2" t="s">
        <v>54</v>
      </c>
      <c r="B48" s="2" t="s">
        <v>8</v>
      </c>
      <c r="C48" s="2">
        <v>84.9</v>
      </c>
      <c r="D48" s="2">
        <v>14.3</v>
      </c>
      <c r="E48" s="2">
        <v>6</v>
      </c>
      <c r="F48" s="2">
        <v>2</v>
      </c>
      <c r="G48" s="2">
        <v>147</v>
      </c>
    </row>
    <row r="49" spans="1:7" x14ac:dyDescent="0.3">
      <c r="A49" s="2" t="s">
        <v>55</v>
      </c>
      <c r="B49" s="2" t="s">
        <v>8</v>
      </c>
      <c r="C49" s="2">
        <v>86.4</v>
      </c>
      <c r="D49" s="2">
        <v>20.9</v>
      </c>
      <c r="E49" s="2">
        <v>9</v>
      </c>
      <c r="F49" s="2">
        <v>4</v>
      </c>
      <c r="G49" s="2">
        <v>88</v>
      </c>
    </row>
    <row r="50" spans="1:7" x14ac:dyDescent="0.3">
      <c r="A50" s="2" t="s">
        <v>56</v>
      </c>
      <c r="B50" s="2" t="s">
        <v>8</v>
      </c>
      <c r="C50" s="2">
        <v>79.400000000000006</v>
      </c>
      <c r="D50" s="2">
        <v>20.6</v>
      </c>
      <c r="E50" s="2">
        <v>8</v>
      </c>
      <c r="F50" s="2">
        <v>1</v>
      </c>
      <c r="G50" s="2">
        <v>28</v>
      </c>
    </row>
    <row r="51" spans="1:7" x14ac:dyDescent="0.3">
      <c r="A51" s="2" t="s">
        <v>57</v>
      </c>
      <c r="B51" s="2" t="s">
        <v>8</v>
      </c>
      <c r="C51" s="2">
        <v>78.3</v>
      </c>
      <c r="D51" s="2">
        <v>42.5</v>
      </c>
      <c r="E51" s="2">
        <v>5</v>
      </c>
      <c r="F51" s="2">
        <v>2</v>
      </c>
      <c r="G51" s="2">
        <v>99</v>
      </c>
    </row>
    <row r="52" spans="1:7" x14ac:dyDescent="0.3">
      <c r="A52" s="2" t="s">
        <v>58</v>
      </c>
      <c r="B52" s="2" t="s">
        <v>8</v>
      </c>
      <c r="C52" s="2">
        <v>84.3</v>
      </c>
      <c r="D52" s="2">
        <v>17.100000000000001</v>
      </c>
      <c r="E52" s="2">
        <v>4</v>
      </c>
      <c r="F52" s="2">
        <v>1</v>
      </c>
      <c r="G52" s="2">
        <v>47</v>
      </c>
    </row>
    <row r="53" spans="1:7" x14ac:dyDescent="0.3">
      <c r="A53" s="2" t="s">
        <v>59</v>
      </c>
      <c r="B53" s="2" t="s">
        <v>8</v>
      </c>
      <c r="C53" s="2">
        <v>76.099999999999994</v>
      </c>
      <c r="D53" s="2">
        <v>20.399999999999999</v>
      </c>
      <c r="E53" s="2">
        <v>6</v>
      </c>
      <c r="F53" s="2">
        <v>3</v>
      </c>
      <c r="G53" s="2">
        <v>27</v>
      </c>
    </row>
    <row r="54" spans="1:7" x14ac:dyDescent="0.3">
      <c r="A54" s="2" t="s">
        <v>60</v>
      </c>
      <c r="B54" s="2" t="s">
        <v>8</v>
      </c>
      <c r="C54" s="2">
        <v>84.7</v>
      </c>
      <c r="D54" s="2">
        <v>23</v>
      </c>
      <c r="E54" s="2">
        <v>6</v>
      </c>
      <c r="F54" s="2">
        <v>3</v>
      </c>
      <c r="G54" s="2">
        <v>116</v>
      </c>
    </row>
    <row r="55" spans="1:7" x14ac:dyDescent="0.3">
      <c r="A55" s="2" t="s">
        <v>61</v>
      </c>
      <c r="B55" s="2" t="s">
        <v>8</v>
      </c>
      <c r="C55" s="2">
        <v>77.3</v>
      </c>
      <c r="D55" s="2">
        <v>19.8</v>
      </c>
      <c r="E55" s="2">
        <v>9</v>
      </c>
      <c r="F55" s="2">
        <v>2</v>
      </c>
      <c r="G55" s="2">
        <v>35</v>
      </c>
    </row>
    <row r="56" spans="1:7" x14ac:dyDescent="0.3">
      <c r="A56" s="2" t="s">
        <v>62</v>
      </c>
      <c r="B56" s="2" t="s">
        <v>8</v>
      </c>
      <c r="C56" s="2">
        <v>85.3</v>
      </c>
      <c r="D56" s="2">
        <v>19.399999999999999</v>
      </c>
      <c r="E56" s="2">
        <v>6</v>
      </c>
      <c r="F56" s="2">
        <v>4</v>
      </c>
      <c r="G56" s="2">
        <v>49</v>
      </c>
    </row>
    <row r="57" spans="1:7" x14ac:dyDescent="0.3">
      <c r="A57" s="2" t="s">
        <v>63</v>
      </c>
      <c r="B57" s="2" t="s">
        <v>8</v>
      </c>
      <c r="C57" s="2">
        <v>81.2</v>
      </c>
      <c r="D57" s="2">
        <v>21.8</v>
      </c>
      <c r="E57" s="2">
        <v>9</v>
      </c>
      <c r="F57" s="2">
        <v>2</v>
      </c>
      <c r="G57" s="2">
        <v>55</v>
      </c>
    </row>
    <row r="58" spans="1:7" x14ac:dyDescent="0.3">
      <c r="A58" s="2" t="s">
        <v>64</v>
      </c>
      <c r="B58" s="2" t="s">
        <v>8</v>
      </c>
      <c r="C58" s="2">
        <v>76.900000000000006</v>
      </c>
      <c r="D58" s="2">
        <v>13</v>
      </c>
      <c r="E58" s="2">
        <v>2</v>
      </c>
      <c r="F58" s="2">
        <v>0</v>
      </c>
      <c r="G58" s="2">
        <v>25</v>
      </c>
    </row>
    <row r="59" spans="1:7" x14ac:dyDescent="0.3">
      <c r="A59" s="2" t="s">
        <v>65</v>
      </c>
      <c r="B59" s="2" t="s">
        <v>8</v>
      </c>
      <c r="C59" s="2">
        <v>60.7</v>
      </c>
      <c r="D59" s="2">
        <v>16.5</v>
      </c>
      <c r="E59" s="2">
        <v>8</v>
      </c>
      <c r="F59" s="2">
        <v>4</v>
      </c>
      <c r="G59" s="2">
        <v>100</v>
      </c>
    </row>
    <row r="60" spans="1:7" x14ac:dyDescent="0.3">
      <c r="A60" s="2" t="s">
        <v>66</v>
      </c>
      <c r="B60" s="2" t="s">
        <v>8</v>
      </c>
      <c r="C60" s="2">
        <v>72.5</v>
      </c>
      <c r="D60" s="2">
        <v>14.7</v>
      </c>
      <c r="E60" s="2">
        <v>4</v>
      </c>
      <c r="F60" s="2">
        <v>3</v>
      </c>
      <c r="G60" s="2">
        <v>11</v>
      </c>
    </row>
    <row r="61" spans="1:7" x14ac:dyDescent="0.3">
      <c r="A61" s="2" t="s">
        <v>67</v>
      </c>
      <c r="B61" s="2" t="s">
        <v>8</v>
      </c>
      <c r="C61" s="2">
        <v>78</v>
      </c>
      <c r="D61" s="2">
        <v>14</v>
      </c>
      <c r="E61" s="2">
        <v>5</v>
      </c>
      <c r="F61" s="2">
        <v>3</v>
      </c>
      <c r="G61" s="2">
        <v>58</v>
      </c>
    </row>
    <row r="62" spans="1:7" x14ac:dyDescent="0.3">
      <c r="A62" s="2" t="s">
        <v>68</v>
      </c>
      <c r="B62" s="2" t="s">
        <v>8</v>
      </c>
      <c r="C62" s="2">
        <v>77.2</v>
      </c>
      <c r="D62" s="2">
        <v>17.7</v>
      </c>
      <c r="E62" s="2">
        <v>12</v>
      </c>
      <c r="F62" s="2">
        <v>5</v>
      </c>
      <c r="G62" s="2">
        <v>5</v>
      </c>
    </row>
    <row r="63" spans="1:7" x14ac:dyDescent="0.3">
      <c r="A63" s="2" t="s">
        <v>69</v>
      </c>
      <c r="B63" s="2" t="s">
        <v>8</v>
      </c>
      <c r="C63" s="2">
        <v>74.7</v>
      </c>
      <c r="D63" s="2">
        <v>18.5</v>
      </c>
      <c r="E63" s="2">
        <v>6</v>
      </c>
      <c r="F63" s="2">
        <v>2</v>
      </c>
      <c r="G63" s="2">
        <v>36</v>
      </c>
    </row>
    <row r="64" spans="1:7" x14ac:dyDescent="0.3">
      <c r="A64" s="2" t="s">
        <v>70</v>
      </c>
      <c r="B64" s="2" t="s">
        <v>8</v>
      </c>
      <c r="C64" s="2">
        <v>72.900000000000006</v>
      </c>
      <c r="D64" s="2">
        <v>16.600000000000001</v>
      </c>
      <c r="E64" s="2">
        <v>5</v>
      </c>
      <c r="F64" s="2">
        <v>0</v>
      </c>
      <c r="G64" s="2">
        <v>27</v>
      </c>
    </row>
    <row r="65" spans="1:7" x14ac:dyDescent="0.3">
      <c r="A65" s="2" t="s">
        <v>71</v>
      </c>
      <c r="B65" s="2" t="s">
        <v>8</v>
      </c>
      <c r="C65" s="2">
        <v>78.400000000000006</v>
      </c>
      <c r="D65" s="2">
        <v>15.3</v>
      </c>
      <c r="E65" s="2">
        <v>8</v>
      </c>
      <c r="F65" s="2">
        <v>3</v>
      </c>
      <c r="G65" s="2">
        <v>62</v>
      </c>
    </row>
    <row r="66" spans="1:7" x14ac:dyDescent="0.3">
      <c r="A66" s="2" t="s">
        <v>72</v>
      </c>
      <c r="B66" s="2" t="s">
        <v>8</v>
      </c>
      <c r="C66" s="2">
        <v>71.8</v>
      </c>
      <c r="D66" s="2">
        <v>23.9</v>
      </c>
      <c r="E66" s="2">
        <v>10</v>
      </c>
      <c r="F66" s="2">
        <v>5</v>
      </c>
      <c r="G66" s="2">
        <v>19</v>
      </c>
    </row>
    <row r="67" spans="1:7" x14ac:dyDescent="0.3">
      <c r="A67" s="2" t="s">
        <v>73</v>
      </c>
      <c r="B67" s="2" t="s">
        <v>8</v>
      </c>
      <c r="C67" s="2">
        <v>76.599999999999994</v>
      </c>
      <c r="D67" s="2">
        <v>15.1</v>
      </c>
      <c r="E67" s="2">
        <v>3</v>
      </c>
      <c r="F67" s="2">
        <v>3</v>
      </c>
      <c r="G67" s="2">
        <v>8</v>
      </c>
    </row>
    <row r="68" spans="1:7" x14ac:dyDescent="0.3">
      <c r="A68" s="2" t="s">
        <v>74</v>
      </c>
      <c r="B68" s="2" t="s">
        <v>8</v>
      </c>
      <c r="C68" s="2">
        <v>72.5</v>
      </c>
      <c r="D68" s="2">
        <v>29.1</v>
      </c>
      <c r="E68" s="2">
        <v>6</v>
      </c>
      <c r="F68" s="2">
        <v>3</v>
      </c>
      <c r="G68" s="2">
        <v>117</v>
      </c>
    </row>
    <row r="69" spans="1:7" x14ac:dyDescent="0.3">
      <c r="A69" s="2" t="s">
        <v>75</v>
      </c>
      <c r="B69" s="2" t="s">
        <v>8</v>
      </c>
      <c r="C69" s="2">
        <v>86.5</v>
      </c>
      <c r="D69" s="2">
        <v>20.9</v>
      </c>
      <c r="E69" s="2">
        <v>3</v>
      </c>
      <c r="F69" s="2">
        <v>0</v>
      </c>
      <c r="G69" s="2">
        <v>60</v>
      </c>
    </row>
    <row r="70" spans="1:7" x14ac:dyDescent="0.3">
      <c r="A70" s="2" t="s">
        <v>76</v>
      </c>
      <c r="B70" s="2" t="s">
        <v>8</v>
      </c>
      <c r="C70" s="2">
        <v>77.5</v>
      </c>
      <c r="D70" s="2">
        <v>21.8</v>
      </c>
      <c r="E70" s="2">
        <v>4</v>
      </c>
      <c r="F70" s="2">
        <v>2</v>
      </c>
      <c r="G70" s="2">
        <v>71</v>
      </c>
    </row>
    <row r="71" spans="1:7" x14ac:dyDescent="0.3">
      <c r="A71" s="2" t="s">
        <v>77</v>
      </c>
      <c r="B71" s="2" t="s">
        <v>8</v>
      </c>
      <c r="C71" s="2">
        <v>77.3</v>
      </c>
      <c r="D71" s="2">
        <v>20.8</v>
      </c>
      <c r="E71" s="2">
        <v>4</v>
      </c>
      <c r="F71" s="2">
        <v>0</v>
      </c>
      <c r="G71" s="2">
        <v>92</v>
      </c>
    </row>
    <row r="72" spans="1:7" x14ac:dyDescent="0.3">
      <c r="A72" s="2" t="s">
        <v>78</v>
      </c>
      <c r="B72" s="2" t="s">
        <v>8</v>
      </c>
      <c r="C72" s="2">
        <v>77.099999999999994</v>
      </c>
      <c r="D72" s="2">
        <v>19</v>
      </c>
      <c r="E72" s="2">
        <v>3</v>
      </c>
      <c r="F72" s="2">
        <v>1</v>
      </c>
      <c r="G72" s="2">
        <v>41</v>
      </c>
    </row>
    <row r="73" spans="1:7" x14ac:dyDescent="0.3">
      <c r="A73" s="2" t="s">
        <v>79</v>
      </c>
      <c r="B73" s="2" t="s">
        <v>8</v>
      </c>
      <c r="C73" s="2">
        <v>77.400000000000006</v>
      </c>
      <c r="D73" s="2">
        <v>8</v>
      </c>
      <c r="E73" s="2">
        <v>4</v>
      </c>
      <c r="F73" s="2">
        <v>1</v>
      </c>
      <c r="G73" s="2">
        <v>12</v>
      </c>
    </row>
    <row r="74" spans="1:7" x14ac:dyDescent="0.3">
      <c r="A74" s="2" t="s">
        <v>80</v>
      </c>
      <c r="B74" s="2" t="s">
        <v>8</v>
      </c>
      <c r="C74" s="2">
        <v>67.3</v>
      </c>
      <c r="D74" s="2">
        <v>21.3</v>
      </c>
      <c r="E74" s="2">
        <v>6</v>
      </c>
      <c r="F74" s="2">
        <v>3</v>
      </c>
      <c r="G74" s="2">
        <v>40</v>
      </c>
    </row>
    <row r="75" spans="1:7" x14ac:dyDescent="0.3">
      <c r="A75" s="2" t="s">
        <v>81</v>
      </c>
      <c r="B75" s="2" t="s">
        <v>8</v>
      </c>
      <c r="C75" s="2">
        <v>72.400000000000006</v>
      </c>
      <c r="D75" s="2">
        <v>16.899999999999999</v>
      </c>
      <c r="E75" s="2">
        <v>5</v>
      </c>
      <c r="F75" s="2">
        <v>2</v>
      </c>
      <c r="G75" s="2">
        <v>107</v>
      </c>
    </row>
    <row r="76" spans="1:7" x14ac:dyDescent="0.3">
      <c r="A76" s="2" t="s">
        <v>82</v>
      </c>
      <c r="B76" s="2" t="s">
        <v>8</v>
      </c>
      <c r="C76" s="2">
        <v>81.900000000000006</v>
      </c>
      <c r="D76" s="2">
        <v>23.7</v>
      </c>
      <c r="E76" s="2">
        <v>6</v>
      </c>
      <c r="F76" s="2">
        <v>2</v>
      </c>
      <c r="G76" s="2">
        <v>19</v>
      </c>
    </row>
    <row r="77" spans="1:7" x14ac:dyDescent="0.3">
      <c r="A77" s="2" t="s">
        <v>83</v>
      </c>
      <c r="B77" s="2" t="s">
        <v>8</v>
      </c>
      <c r="C77" s="2">
        <v>77.599999999999994</v>
      </c>
      <c r="D77" s="2">
        <v>24</v>
      </c>
      <c r="E77" s="2">
        <v>10</v>
      </c>
      <c r="F77" s="2">
        <v>6</v>
      </c>
      <c r="G77" s="2">
        <v>14</v>
      </c>
    </row>
    <row r="78" spans="1:7" x14ac:dyDescent="0.3">
      <c r="A78" s="2" t="s">
        <v>84</v>
      </c>
      <c r="B78" s="2" t="s">
        <v>8</v>
      </c>
      <c r="C78" s="2">
        <v>67.900000000000006</v>
      </c>
      <c r="D78" s="2">
        <v>35.4</v>
      </c>
      <c r="E78" s="2">
        <v>5</v>
      </c>
      <c r="F78" s="2">
        <v>1</v>
      </c>
      <c r="G78" s="2">
        <v>127</v>
      </c>
    </row>
    <row r="79" spans="1:7" x14ac:dyDescent="0.3">
      <c r="A79" s="2" t="s">
        <v>85</v>
      </c>
      <c r="B79" s="2" t="s">
        <v>8</v>
      </c>
      <c r="C79" s="2">
        <v>81.5</v>
      </c>
      <c r="D79" s="2">
        <v>30.3</v>
      </c>
      <c r="E79" s="2">
        <v>7</v>
      </c>
      <c r="F79" s="2">
        <v>2</v>
      </c>
      <c r="G79" s="2">
        <v>110</v>
      </c>
    </row>
    <row r="80" spans="1:7" x14ac:dyDescent="0.3">
      <c r="A80" s="2" t="s">
        <v>86</v>
      </c>
      <c r="B80" s="2" t="s">
        <v>8</v>
      </c>
      <c r="C80" s="2">
        <v>73.900000000000006</v>
      </c>
      <c r="D80" s="2">
        <v>16.8</v>
      </c>
      <c r="E80" s="2">
        <v>8</v>
      </c>
      <c r="F80" s="2">
        <v>0</v>
      </c>
      <c r="G80" s="2">
        <v>33</v>
      </c>
    </row>
    <row r="81" spans="1:7" x14ac:dyDescent="0.3">
      <c r="A81" s="2" t="s">
        <v>87</v>
      </c>
      <c r="B81" s="2" t="s">
        <v>8</v>
      </c>
      <c r="C81" s="2">
        <v>67.599999999999994</v>
      </c>
      <c r="D81" s="2">
        <v>13</v>
      </c>
      <c r="E81" s="2">
        <v>5</v>
      </c>
      <c r="F81" s="2">
        <v>1</v>
      </c>
      <c r="G81" s="2">
        <v>76</v>
      </c>
    </row>
    <row r="82" spans="1:7" x14ac:dyDescent="0.3">
      <c r="A82" s="2" t="s">
        <v>88</v>
      </c>
      <c r="B82" s="2" t="s">
        <v>8</v>
      </c>
      <c r="C82" s="2">
        <v>85.4</v>
      </c>
      <c r="D82" s="2">
        <v>35.6</v>
      </c>
      <c r="E82" s="2">
        <v>3</v>
      </c>
      <c r="F82" s="2">
        <v>0</v>
      </c>
      <c r="G82" s="2">
        <v>24</v>
      </c>
    </row>
    <row r="83" spans="1:7" x14ac:dyDescent="0.3">
      <c r="A83" s="2" t="s">
        <v>89</v>
      </c>
      <c r="B83" s="2" t="s">
        <v>8</v>
      </c>
      <c r="C83" s="2">
        <v>79.5</v>
      </c>
      <c r="D83" s="2">
        <v>14</v>
      </c>
      <c r="E83" s="2">
        <v>5</v>
      </c>
      <c r="F83" s="2">
        <v>2</v>
      </c>
      <c r="G83" s="2">
        <v>30</v>
      </c>
    </row>
    <row r="84" spans="1:7" x14ac:dyDescent="0.3">
      <c r="A84" s="2" t="s">
        <v>90</v>
      </c>
      <c r="B84" s="2" t="s">
        <v>8</v>
      </c>
      <c r="C84" s="2">
        <v>79.599999999999994</v>
      </c>
      <c r="D84" s="2">
        <v>13.5</v>
      </c>
      <c r="E84" s="2">
        <v>5</v>
      </c>
      <c r="F84" s="2">
        <v>3</v>
      </c>
      <c r="G84" s="2">
        <v>75</v>
      </c>
    </row>
    <row r="85" spans="1:7" x14ac:dyDescent="0.3">
      <c r="A85" s="2" t="s">
        <v>91</v>
      </c>
      <c r="B85" s="2" t="s">
        <v>8</v>
      </c>
      <c r="C85" s="2">
        <v>82.2</v>
      </c>
      <c r="D85" s="2">
        <v>20.2</v>
      </c>
      <c r="E85" s="2">
        <v>6</v>
      </c>
      <c r="F85" s="2">
        <v>2</v>
      </c>
      <c r="G85" s="2">
        <v>37</v>
      </c>
    </row>
    <row r="86" spans="1:7" x14ac:dyDescent="0.3">
      <c r="A86" s="2" t="s">
        <v>92</v>
      </c>
      <c r="B86" s="2" t="s">
        <v>8</v>
      </c>
      <c r="C86" s="2">
        <v>82.6</v>
      </c>
      <c r="D86" s="2">
        <v>7.6</v>
      </c>
      <c r="E86" s="2">
        <v>5</v>
      </c>
      <c r="F86" s="2">
        <v>2</v>
      </c>
      <c r="G86" s="2">
        <v>112</v>
      </c>
    </row>
    <row r="87" spans="1:7" x14ac:dyDescent="0.3">
      <c r="A87" s="2" t="s">
        <v>93</v>
      </c>
      <c r="B87" s="2" t="s">
        <v>8</v>
      </c>
      <c r="C87" s="2">
        <v>77.8</v>
      </c>
      <c r="D87" s="2">
        <v>16.5</v>
      </c>
      <c r="E87" s="2">
        <v>2</v>
      </c>
      <c r="F87" s="2">
        <v>1</v>
      </c>
      <c r="G87" s="2">
        <v>37</v>
      </c>
    </row>
    <row r="88" spans="1:7" x14ac:dyDescent="0.3">
      <c r="A88" s="2" t="s">
        <v>94</v>
      </c>
      <c r="B88" s="2" t="s">
        <v>8</v>
      </c>
      <c r="C88" s="2">
        <v>67.099999999999994</v>
      </c>
      <c r="D88" s="2">
        <v>10.1</v>
      </c>
      <c r="E88" s="2">
        <v>4</v>
      </c>
      <c r="F88" s="2">
        <v>4</v>
      </c>
      <c r="G88" s="2">
        <v>92</v>
      </c>
    </row>
    <row r="89" spans="1:7" x14ac:dyDescent="0.3">
      <c r="A89" s="2" t="s">
        <v>95</v>
      </c>
      <c r="B89" s="2" t="s">
        <v>8</v>
      </c>
      <c r="C89" s="2">
        <v>80.599999999999994</v>
      </c>
      <c r="D89" s="2">
        <v>18.3</v>
      </c>
      <c r="E89" s="2">
        <v>6</v>
      </c>
      <c r="F89" s="2">
        <v>4</v>
      </c>
      <c r="G89" s="2">
        <v>17</v>
      </c>
    </row>
    <row r="90" spans="1:7" x14ac:dyDescent="0.3">
      <c r="A90" s="2" t="s">
        <v>96</v>
      </c>
      <c r="B90" s="2" t="s">
        <v>8</v>
      </c>
      <c r="C90" s="2">
        <v>77.3</v>
      </c>
      <c r="D90" s="2">
        <v>15.1</v>
      </c>
      <c r="E90" s="2">
        <v>5</v>
      </c>
      <c r="F90" s="2">
        <v>1</v>
      </c>
      <c r="G90" s="2">
        <v>58</v>
      </c>
    </row>
    <row r="91" spans="1:7" x14ac:dyDescent="0.3">
      <c r="A91" s="2" t="s">
        <v>97</v>
      </c>
      <c r="B91" s="2" t="s">
        <v>8</v>
      </c>
      <c r="C91" s="2">
        <v>73.900000000000006</v>
      </c>
      <c r="D91" s="2">
        <v>18</v>
      </c>
      <c r="E91" s="2">
        <v>10</v>
      </c>
      <c r="F91" s="2">
        <v>1</v>
      </c>
      <c r="G91" s="2">
        <v>85</v>
      </c>
    </row>
    <row r="92" spans="1:7" x14ac:dyDescent="0.3">
      <c r="A92" s="2" t="s">
        <v>98</v>
      </c>
      <c r="B92" s="2" t="s">
        <v>8</v>
      </c>
      <c r="C92" s="2">
        <v>79.3</v>
      </c>
      <c r="D92" s="2">
        <v>11.7</v>
      </c>
      <c r="E92" s="2">
        <v>4</v>
      </c>
      <c r="F92" s="2">
        <v>0</v>
      </c>
      <c r="G92" s="2">
        <v>86</v>
      </c>
    </row>
    <row r="93" spans="1:7" x14ac:dyDescent="0.3">
      <c r="A93" s="2" t="s">
        <v>99</v>
      </c>
      <c r="B93" s="2" t="s">
        <v>8</v>
      </c>
      <c r="C93" s="2">
        <v>72.900000000000006</v>
      </c>
      <c r="D93" s="2">
        <v>21.7</v>
      </c>
      <c r="E93" s="2">
        <v>2</v>
      </c>
      <c r="F93" s="2">
        <v>1</v>
      </c>
      <c r="G93" s="2">
        <v>15</v>
      </c>
    </row>
    <row r="94" spans="1:7" x14ac:dyDescent="0.3">
      <c r="A94" s="2" t="s">
        <v>100</v>
      </c>
      <c r="B94" s="2" t="s">
        <v>8</v>
      </c>
      <c r="C94" s="2">
        <v>80.7</v>
      </c>
      <c r="D94" s="2">
        <v>16.399999999999999</v>
      </c>
      <c r="E94" s="2">
        <v>5</v>
      </c>
      <c r="F94" s="2">
        <v>3</v>
      </c>
      <c r="G94" s="2">
        <v>120</v>
      </c>
    </row>
    <row r="95" spans="1:7" x14ac:dyDescent="0.3">
      <c r="A95" s="2" t="s">
        <v>101</v>
      </c>
      <c r="B95" s="2" t="s">
        <v>8</v>
      </c>
      <c r="C95" s="2">
        <v>81.400000000000006</v>
      </c>
      <c r="D95" s="2">
        <v>12.7</v>
      </c>
      <c r="E95" s="2">
        <v>7</v>
      </c>
      <c r="F95" s="2">
        <v>1</v>
      </c>
      <c r="G95" s="2">
        <v>47</v>
      </c>
    </row>
    <row r="96" spans="1:7" x14ac:dyDescent="0.3">
      <c r="A96" s="2" t="s">
        <v>102</v>
      </c>
      <c r="B96" s="2" t="s">
        <v>8</v>
      </c>
      <c r="C96" s="2">
        <v>68.5</v>
      </c>
      <c r="D96" s="2">
        <v>20.399999999999999</v>
      </c>
      <c r="E96" s="2">
        <v>6</v>
      </c>
      <c r="F96" s="2">
        <v>0</v>
      </c>
      <c r="G96" s="2">
        <v>42</v>
      </c>
    </row>
    <row r="97" spans="1:7" x14ac:dyDescent="0.3">
      <c r="A97" s="2" t="s">
        <v>103</v>
      </c>
      <c r="B97" s="2" t="s">
        <v>104</v>
      </c>
      <c r="C97" s="2">
        <v>60.1</v>
      </c>
      <c r="D97" s="2">
        <v>18</v>
      </c>
      <c r="E97" s="2">
        <v>9</v>
      </c>
      <c r="F97" s="2">
        <v>3</v>
      </c>
      <c r="G97" s="2">
        <v>76</v>
      </c>
    </row>
    <row r="98" spans="1:7" x14ac:dyDescent="0.3">
      <c r="A98" s="2" t="s">
        <v>105</v>
      </c>
      <c r="B98" s="2" t="s">
        <v>104</v>
      </c>
      <c r="C98" s="2">
        <v>68.2</v>
      </c>
      <c r="D98" s="2">
        <v>12</v>
      </c>
      <c r="E98" s="2">
        <v>7</v>
      </c>
      <c r="F98" s="2">
        <v>3</v>
      </c>
      <c r="G98" s="2">
        <v>93</v>
      </c>
    </row>
    <row r="99" spans="1:7" x14ac:dyDescent="0.3">
      <c r="A99" s="2" t="s">
        <v>106</v>
      </c>
      <c r="B99" s="2" t="s">
        <v>104</v>
      </c>
      <c r="C99" s="2">
        <v>66.5</v>
      </c>
      <c r="D99" s="2">
        <v>6</v>
      </c>
      <c r="E99" s="2">
        <v>4</v>
      </c>
      <c r="F99" s="2">
        <v>1</v>
      </c>
      <c r="G99" s="2">
        <v>72</v>
      </c>
    </row>
    <row r="100" spans="1:7" x14ac:dyDescent="0.3">
      <c r="A100" s="2" t="s">
        <v>107</v>
      </c>
      <c r="B100" s="2" t="s">
        <v>104</v>
      </c>
      <c r="C100" s="2">
        <v>68.900000000000006</v>
      </c>
      <c r="D100" s="2">
        <v>12.4</v>
      </c>
      <c r="E100" s="2">
        <v>5</v>
      </c>
      <c r="F100" s="2">
        <v>1</v>
      </c>
      <c r="G100" s="2">
        <v>42</v>
      </c>
    </row>
    <row r="101" spans="1:7" x14ac:dyDescent="0.3">
      <c r="A101" s="2" t="s">
        <v>108</v>
      </c>
      <c r="B101" s="2" t="s">
        <v>104</v>
      </c>
      <c r="C101" s="2">
        <v>71.7</v>
      </c>
      <c r="D101" s="2">
        <v>15.8</v>
      </c>
      <c r="E101" s="2">
        <v>4</v>
      </c>
      <c r="F101" s="2">
        <v>0</v>
      </c>
      <c r="G101" s="2">
        <v>27</v>
      </c>
    </row>
    <row r="102" spans="1:7" x14ac:dyDescent="0.3">
      <c r="A102" s="2" t="s">
        <v>109</v>
      </c>
      <c r="B102" s="2" t="s">
        <v>104</v>
      </c>
      <c r="C102" s="2">
        <v>75.900000000000006</v>
      </c>
      <c r="D102" s="2">
        <v>9.1</v>
      </c>
      <c r="E102" s="2">
        <v>6</v>
      </c>
      <c r="F102" s="2">
        <v>2</v>
      </c>
      <c r="G102" s="2">
        <v>90</v>
      </c>
    </row>
    <row r="103" spans="1:7" x14ac:dyDescent="0.3">
      <c r="A103" s="2" t="s">
        <v>110</v>
      </c>
      <c r="B103" s="2" t="s">
        <v>104</v>
      </c>
      <c r="C103" s="2">
        <v>65</v>
      </c>
      <c r="D103" s="2">
        <v>13.5</v>
      </c>
      <c r="E103" s="2">
        <v>2</v>
      </c>
      <c r="F103" s="2">
        <v>0</v>
      </c>
      <c r="G103" s="2">
        <v>32</v>
      </c>
    </row>
    <row r="104" spans="1:7" x14ac:dyDescent="0.3">
      <c r="A104" s="2" t="s">
        <v>111</v>
      </c>
      <c r="B104" s="2" t="s">
        <v>104</v>
      </c>
      <c r="C104" s="2">
        <v>70</v>
      </c>
      <c r="D104" s="2">
        <v>14.7</v>
      </c>
      <c r="E104" s="2">
        <v>3</v>
      </c>
      <c r="F104" s="2">
        <v>1</v>
      </c>
      <c r="G104" s="2">
        <v>64</v>
      </c>
    </row>
    <row r="105" spans="1:7" x14ac:dyDescent="0.3">
      <c r="A105" s="2" t="s">
        <v>112</v>
      </c>
      <c r="B105" s="2" t="s">
        <v>104</v>
      </c>
      <c r="C105" s="2">
        <v>76.3</v>
      </c>
      <c r="D105" s="2">
        <v>14.3</v>
      </c>
      <c r="E105" s="2">
        <v>4</v>
      </c>
      <c r="F105" s="2">
        <v>2</v>
      </c>
      <c r="G105" s="2">
        <v>45</v>
      </c>
    </row>
    <row r="106" spans="1:7" x14ac:dyDescent="0.3">
      <c r="A106" s="2" t="s">
        <v>113</v>
      </c>
      <c r="B106" s="2" t="s">
        <v>104</v>
      </c>
      <c r="C106" s="2">
        <v>74.5</v>
      </c>
      <c r="D106" s="2">
        <v>15.4</v>
      </c>
      <c r="E106" s="2">
        <v>5</v>
      </c>
      <c r="F106" s="2">
        <v>0</v>
      </c>
      <c r="G106" s="2">
        <v>35</v>
      </c>
    </row>
    <row r="107" spans="1:7" x14ac:dyDescent="0.3">
      <c r="A107" s="2" t="s">
        <v>114</v>
      </c>
      <c r="B107" s="2" t="s">
        <v>104</v>
      </c>
      <c r="C107" s="2">
        <v>78.8</v>
      </c>
      <c r="D107" s="2">
        <v>12.6</v>
      </c>
      <c r="E107" s="2">
        <v>10</v>
      </c>
      <c r="F107" s="2">
        <v>2</v>
      </c>
      <c r="G107" s="2">
        <v>93</v>
      </c>
    </row>
    <row r="108" spans="1:7" x14ac:dyDescent="0.3">
      <c r="A108" s="2" t="s">
        <v>115</v>
      </c>
      <c r="B108" s="2" t="s">
        <v>104</v>
      </c>
      <c r="C108" s="2">
        <v>64.599999999999994</v>
      </c>
      <c r="D108" s="2">
        <v>7.3</v>
      </c>
      <c r="E108" s="2">
        <v>6</v>
      </c>
      <c r="F108" s="2">
        <v>4</v>
      </c>
      <c r="G108" s="2">
        <v>27</v>
      </c>
    </row>
    <row r="109" spans="1:7" x14ac:dyDescent="0.3">
      <c r="A109" s="2" t="s">
        <v>116</v>
      </c>
      <c r="B109" s="2" t="s">
        <v>104</v>
      </c>
      <c r="C109" s="2">
        <v>68.2</v>
      </c>
      <c r="D109" s="2">
        <v>10.1</v>
      </c>
      <c r="E109" s="2">
        <v>6</v>
      </c>
      <c r="F109" s="2">
        <v>0</v>
      </c>
      <c r="G109" s="2">
        <v>60</v>
      </c>
    </row>
    <row r="110" spans="1:7" x14ac:dyDescent="0.3">
      <c r="A110" s="2" t="s">
        <v>117</v>
      </c>
      <c r="B110" s="2" t="s">
        <v>104</v>
      </c>
      <c r="C110" s="2">
        <v>67.2</v>
      </c>
      <c r="D110" s="2">
        <v>8.4</v>
      </c>
      <c r="E110" s="2">
        <v>5</v>
      </c>
      <c r="F110" s="2">
        <v>1</v>
      </c>
      <c r="G110" s="2">
        <v>62</v>
      </c>
    </row>
    <row r="111" spans="1:7" x14ac:dyDescent="0.3">
      <c r="A111" s="2" t="s">
        <v>118</v>
      </c>
      <c r="B111" s="2" t="s">
        <v>104</v>
      </c>
      <c r="C111" s="2">
        <v>63.2</v>
      </c>
      <c r="D111" s="2">
        <v>13.2</v>
      </c>
      <c r="E111" s="2">
        <v>5</v>
      </c>
      <c r="F111" s="2">
        <v>2</v>
      </c>
      <c r="G111" s="2">
        <v>67</v>
      </c>
    </row>
    <row r="112" spans="1:7" x14ac:dyDescent="0.3">
      <c r="A112" s="2" t="s">
        <v>119</v>
      </c>
      <c r="B112" s="2" t="s">
        <v>104</v>
      </c>
      <c r="C112" s="2">
        <v>77.8</v>
      </c>
      <c r="D112" s="2">
        <v>14.1</v>
      </c>
      <c r="E112" s="2">
        <v>14</v>
      </c>
      <c r="F112" s="2">
        <v>5</v>
      </c>
      <c r="G112" s="2">
        <v>21</v>
      </c>
    </row>
    <row r="113" spans="1:7" x14ac:dyDescent="0.3">
      <c r="A113" s="2" t="s">
        <v>120</v>
      </c>
      <c r="B113" s="2" t="s">
        <v>104</v>
      </c>
      <c r="C113" s="2">
        <v>73.8</v>
      </c>
      <c r="D113" s="2">
        <v>8.3000000000000007</v>
      </c>
      <c r="E113" s="2">
        <v>7</v>
      </c>
      <c r="F113" s="2">
        <v>4</v>
      </c>
      <c r="G113" s="2">
        <v>66</v>
      </c>
    </row>
    <row r="114" spans="1:7" x14ac:dyDescent="0.3">
      <c r="A114" s="2" t="s">
        <v>121</v>
      </c>
      <c r="B114" s="2" t="s">
        <v>104</v>
      </c>
      <c r="C114" s="2">
        <v>76</v>
      </c>
      <c r="D114" s="2">
        <v>9.1999999999999993</v>
      </c>
      <c r="E114" s="2">
        <v>6</v>
      </c>
      <c r="F114" s="2">
        <v>1</v>
      </c>
      <c r="G114" s="2">
        <v>55</v>
      </c>
    </row>
    <row r="115" spans="1:7" x14ac:dyDescent="0.3">
      <c r="A115" s="2" t="s">
        <v>122</v>
      </c>
      <c r="B115" s="2" t="s">
        <v>104</v>
      </c>
      <c r="C115" s="2">
        <v>74.7</v>
      </c>
      <c r="D115" s="2">
        <v>16.899999999999999</v>
      </c>
      <c r="E115" s="2">
        <v>5</v>
      </c>
      <c r="F115" s="2">
        <v>0</v>
      </c>
      <c r="G115" s="2">
        <v>44</v>
      </c>
    </row>
    <row r="116" spans="1:7" x14ac:dyDescent="0.3">
      <c r="A116" s="2" t="s">
        <v>123</v>
      </c>
      <c r="B116" s="2" t="s">
        <v>104</v>
      </c>
      <c r="C116" s="2">
        <v>66.900000000000006</v>
      </c>
      <c r="D116" s="2">
        <v>13.1</v>
      </c>
      <c r="E116" s="2">
        <v>7</v>
      </c>
      <c r="F116" s="2">
        <v>3</v>
      </c>
      <c r="G116" s="2">
        <v>47</v>
      </c>
    </row>
    <row r="117" spans="1:7" x14ac:dyDescent="0.3">
      <c r="A117" s="2" t="s">
        <v>124</v>
      </c>
      <c r="B117" s="2" t="s">
        <v>104</v>
      </c>
      <c r="C117" s="2">
        <v>64.400000000000006</v>
      </c>
      <c r="D117" s="2">
        <v>23.6</v>
      </c>
      <c r="E117" s="2">
        <v>9</v>
      </c>
      <c r="F117" s="2">
        <v>2</v>
      </c>
      <c r="G117" s="2">
        <v>56</v>
      </c>
    </row>
    <row r="118" spans="1:7" x14ac:dyDescent="0.3">
      <c r="A118" s="2" t="s">
        <v>125</v>
      </c>
      <c r="B118" s="2" t="s">
        <v>104</v>
      </c>
      <c r="C118" s="2">
        <v>70</v>
      </c>
      <c r="D118" s="2">
        <v>14.9</v>
      </c>
      <c r="E118" s="2">
        <v>7</v>
      </c>
      <c r="F118" s="2">
        <v>2</v>
      </c>
      <c r="G118" s="2">
        <v>65</v>
      </c>
    </row>
    <row r="119" spans="1:7" x14ac:dyDescent="0.3">
      <c r="A119" s="2" t="s">
        <v>126</v>
      </c>
      <c r="B119" s="2" t="s">
        <v>104</v>
      </c>
      <c r="C119" s="2">
        <v>75.3</v>
      </c>
      <c r="D119" s="2">
        <v>14.9</v>
      </c>
      <c r="E119" s="2">
        <v>7</v>
      </c>
      <c r="F119" s="2">
        <v>2</v>
      </c>
      <c r="G119" s="2">
        <v>27</v>
      </c>
    </row>
    <row r="120" spans="1:7" x14ac:dyDescent="0.3">
      <c r="A120" s="2" t="s">
        <v>127</v>
      </c>
      <c r="B120" s="2" t="s">
        <v>104</v>
      </c>
      <c r="C120" s="2">
        <v>69.7</v>
      </c>
      <c r="D120" s="2">
        <v>9.8000000000000007</v>
      </c>
      <c r="E120" s="2">
        <v>3</v>
      </c>
      <c r="F120" s="2">
        <v>1</v>
      </c>
      <c r="G120" s="2">
        <v>44</v>
      </c>
    </row>
    <row r="121" spans="1:7" x14ac:dyDescent="0.3">
      <c r="A121" s="2" t="s">
        <v>128</v>
      </c>
      <c r="B121" s="2" t="s">
        <v>104</v>
      </c>
      <c r="C121" s="2">
        <v>96.9</v>
      </c>
      <c r="D121" s="2">
        <v>9.4</v>
      </c>
      <c r="E121" s="2">
        <v>2</v>
      </c>
      <c r="F121" s="2">
        <v>0</v>
      </c>
      <c r="G121" s="2">
        <v>34</v>
      </c>
    </row>
    <row r="122" spans="1:7" x14ac:dyDescent="0.3">
      <c r="A122" s="2" t="s">
        <v>129</v>
      </c>
      <c r="B122" s="2" t="s">
        <v>104</v>
      </c>
      <c r="C122" s="2">
        <v>74.7</v>
      </c>
      <c r="D122" s="2">
        <v>8</v>
      </c>
      <c r="E122" s="2">
        <v>7</v>
      </c>
      <c r="F122" s="2">
        <v>0</v>
      </c>
      <c r="G122" s="2">
        <v>15</v>
      </c>
    </row>
    <row r="123" spans="1:7" x14ac:dyDescent="0.3">
      <c r="A123" s="2" t="s">
        <v>130</v>
      </c>
      <c r="B123" s="2" t="s">
        <v>104</v>
      </c>
      <c r="C123" s="2">
        <v>70</v>
      </c>
      <c r="D123" s="2">
        <v>8.4</v>
      </c>
      <c r="E123" s="2">
        <v>4</v>
      </c>
      <c r="F123" s="2">
        <v>3</v>
      </c>
      <c r="G123" s="2">
        <v>22</v>
      </c>
    </row>
    <row r="124" spans="1:7" x14ac:dyDescent="0.3">
      <c r="A124" s="2" t="s">
        <v>131</v>
      </c>
      <c r="B124" s="2" t="s">
        <v>104</v>
      </c>
      <c r="C124" s="2">
        <v>80.599999999999994</v>
      </c>
      <c r="D124" s="2">
        <v>7.5</v>
      </c>
      <c r="E124" s="2">
        <v>3</v>
      </c>
      <c r="F124" s="2">
        <v>2</v>
      </c>
      <c r="G124" s="2">
        <v>30</v>
      </c>
    </row>
    <row r="125" spans="1:7" x14ac:dyDescent="0.3">
      <c r="A125" s="2" t="s">
        <v>132</v>
      </c>
      <c r="B125" s="2" t="s">
        <v>104</v>
      </c>
      <c r="C125" s="2">
        <v>69.7</v>
      </c>
      <c r="D125" s="2">
        <v>18.2</v>
      </c>
      <c r="E125" s="2">
        <v>4</v>
      </c>
      <c r="F125" s="2">
        <v>0</v>
      </c>
      <c r="G125" s="2">
        <v>64</v>
      </c>
    </row>
    <row r="126" spans="1:7" x14ac:dyDescent="0.3">
      <c r="A126" s="2" t="s">
        <v>133</v>
      </c>
      <c r="B126" s="2" t="s">
        <v>104</v>
      </c>
      <c r="C126" s="2">
        <v>71.5</v>
      </c>
      <c r="D126" s="2">
        <v>11.7</v>
      </c>
      <c r="E126" s="2">
        <v>7</v>
      </c>
      <c r="F126" s="2">
        <v>2</v>
      </c>
      <c r="G126" s="2">
        <v>47</v>
      </c>
    </row>
    <row r="127" spans="1:7" x14ac:dyDescent="0.3">
      <c r="A127" s="2" t="s">
        <v>134</v>
      </c>
      <c r="B127" s="2" t="s">
        <v>104</v>
      </c>
      <c r="C127" s="2">
        <v>73</v>
      </c>
      <c r="D127" s="2">
        <v>16.899999999999999</v>
      </c>
      <c r="E127" s="2">
        <v>5</v>
      </c>
      <c r="F127" s="2">
        <v>1</v>
      </c>
      <c r="G127" s="2">
        <v>53</v>
      </c>
    </row>
    <row r="128" spans="1:7" x14ac:dyDescent="0.3">
      <c r="A128" s="2" t="s">
        <v>135</v>
      </c>
      <c r="B128" s="2" t="s">
        <v>104</v>
      </c>
      <c r="C128" s="2">
        <v>80.7</v>
      </c>
      <c r="D128" s="2">
        <v>14.1</v>
      </c>
      <c r="E128" s="2">
        <v>7</v>
      </c>
      <c r="F128" s="2">
        <v>3</v>
      </c>
      <c r="G128" s="2">
        <v>40</v>
      </c>
    </row>
    <row r="129" spans="1:7" x14ac:dyDescent="0.3">
      <c r="A129" s="2" t="s">
        <v>136</v>
      </c>
      <c r="B129" s="2" t="s">
        <v>104</v>
      </c>
      <c r="C129" s="2">
        <v>62.6</v>
      </c>
      <c r="D129" s="2">
        <v>15.2</v>
      </c>
      <c r="E129" s="2">
        <v>6</v>
      </c>
      <c r="F129" s="2">
        <v>0</v>
      </c>
      <c r="G129" s="2">
        <v>87</v>
      </c>
    </row>
    <row r="130" spans="1:7" x14ac:dyDescent="0.3">
      <c r="A130" s="2" t="s">
        <v>137</v>
      </c>
      <c r="B130" s="2" t="s">
        <v>104</v>
      </c>
      <c r="C130" s="2">
        <v>80.7</v>
      </c>
      <c r="D130" s="2">
        <v>16.600000000000001</v>
      </c>
      <c r="E130" s="2">
        <v>10</v>
      </c>
      <c r="F130" s="2">
        <v>3</v>
      </c>
      <c r="G130" s="2">
        <v>29</v>
      </c>
    </row>
    <row r="131" spans="1:7" x14ac:dyDescent="0.3">
      <c r="A131" s="2" t="s">
        <v>138</v>
      </c>
      <c r="B131" s="2" t="s">
        <v>104</v>
      </c>
      <c r="C131" s="2">
        <v>58</v>
      </c>
      <c r="D131" s="2">
        <v>13.2</v>
      </c>
      <c r="E131" s="2">
        <v>2</v>
      </c>
      <c r="F131" s="2">
        <v>0</v>
      </c>
      <c r="G131" s="2">
        <v>16</v>
      </c>
    </row>
    <row r="132" spans="1:7" x14ac:dyDescent="0.3">
      <c r="A132" s="2" t="s">
        <v>139</v>
      </c>
      <c r="B132" s="2" t="s">
        <v>104</v>
      </c>
      <c r="C132" s="2">
        <v>80.400000000000006</v>
      </c>
      <c r="D132" s="2">
        <v>16.5</v>
      </c>
      <c r="E132" s="2">
        <v>4</v>
      </c>
      <c r="F132" s="2">
        <v>1</v>
      </c>
      <c r="G132" s="2">
        <v>59</v>
      </c>
    </row>
    <row r="133" spans="1:7" x14ac:dyDescent="0.3">
      <c r="A133" s="2" t="s">
        <v>140</v>
      </c>
      <c r="B133" s="2" t="s">
        <v>104</v>
      </c>
      <c r="C133" s="2">
        <v>77.599999999999994</v>
      </c>
      <c r="D133" s="2">
        <v>17.399999999999999</v>
      </c>
      <c r="E133" s="2">
        <v>3</v>
      </c>
      <c r="F133" s="2">
        <v>1</v>
      </c>
      <c r="G133" s="2">
        <v>33</v>
      </c>
    </row>
    <row r="134" spans="1:7" x14ac:dyDescent="0.3">
      <c r="A134" s="2" t="s">
        <v>141</v>
      </c>
      <c r="B134" s="2" t="s">
        <v>104</v>
      </c>
      <c r="C134" s="2">
        <v>79.7</v>
      </c>
      <c r="D134" s="2">
        <v>13.4</v>
      </c>
      <c r="E134" s="2">
        <v>3</v>
      </c>
      <c r="F134" s="2">
        <v>1</v>
      </c>
      <c r="G134" s="2">
        <v>63</v>
      </c>
    </row>
    <row r="135" spans="1:7" x14ac:dyDescent="0.3">
      <c r="A135" s="2" t="s">
        <v>142</v>
      </c>
      <c r="B135" s="2" t="s">
        <v>104</v>
      </c>
      <c r="C135" s="2">
        <v>59.3</v>
      </c>
      <c r="D135" s="2">
        <v>8.1999999999999993</v>
      </c>
      <c r="E135" s="2">
        <v>3</v>
      </c>
      <c r="F135" s="2">
        <v>0</v>
      </c>
      <c r="G135" s="2">
        <v>62</v>
      </c>
    </row>
    <row r="136" spans="1:7" x14ac:dyDescent="0.3">
      <c r="A136" s="2" t="s">
        <v>143</v>
      </c>
      <c r="B136" s="2" t="s">
        <v>104</v>
      </c>
      <c r="C136" s="2">
        <v>79.400000000000006</v>
      </c>
      <c r="D136" s="2">
        <v>13.2</v>
      </c>
      <c r="E136" s="2">
        <v>6</v>
      </c>
      <c r="F136" s="2">
        <v>1</v>
      </c>
      <c r="G136" s="2">
        <v>113</v>
      </c>
    </row>
    <row r="137" spans="1:7" x14ac:dyDescent="0.3">
      <c r="A137" s="2" t="s">
        <v>144</v>
      </c>
      <c r="B137" s="2" t="s">
        <v>104</v>
      </c>
      <c r="C137" s="2">
        <v>89.9</v>
      </c>
      <c r="D137" s="2">
        <v>10.1</v>
      </c>
      <c r="E137" s="2">
        <v>5</v>
      </c>
      <c r="F137" s="2">
        <v>1</v>
      </c>
      <c r="G137" s="2">
        <v>80</v>
      </c>
    </row>
    <row r="138" spans="1:7" x14ac:dyDescent="0.3">
      <c r="A138" s="2" t="s">
        <v>145</v>
      </c>
      <c r="B138" s="2" t="s">
        <v>104</v>
      </c>
      <c r="C138" s="2">
        <v>61.2</v>
      </c>
      <c r="D138" s="2">
        <v>15.1</v>
      </c>
      <c r="E138" s="2">
        <v>9</v>
      </c>
      <c r="F138" s="2">
        <v>3</v>
      </c>
      <c r="G138" s="2">
        <v>72</v>
      </c>
    </row>
    <row r="139" spans="1:7" x14ac:dyDescent="0.3">
      <c r="A139" s="2" t="s">
        <v>146</v>
      </c>
      <c r="B139" s="2" t="s">
        <v>104</v>
      </c>
      <c r="C139" s="2">
        <v>75</v>
      </c>
      <c r="D139" s="2">
        <v>18.8</v>
      </c>
      <c r="E139" s="2">
        <v>4</v>
      </c>
      <c r="F139" s="2">
        <v>1</v>
      </c>
      <c r="G139" s="2">
        <v>125</v>
      </c>
    </row>
    <row r="140" spans="1:7" x14ac:dyDescent="0.3">
      <c r="A140" s="2" t="s">
        <v>147</v>
      </c>
      <c r="B140" s="2" t="s">
        <v>104</v>
      </c>
      <c r="C140" s="2">
        <v>63.6</v>
      </c>
      <c r="D140" s="2">
        <v>36.9</v>
      </c>
      <c r="E140" s="2">
        <v>5</v>
      </c>
      <c r="F140" s="2">
        <v>2</v>
      </c>
      <c r="G140" s="2">
        <v>31</v>
      </c>
    </row>
    <row r="141" spans="1:7" x14ac:dyDescent="0.3">
      <c r="A141" s="2" t="s">
        <v>148</v>
      </c>
      <c r="B141" s="2" t="s">
        <v>104</v>
      </c>
      <c r="C141" s="2">
        <v>73.7</v>
      </c>
      <c r="D141" s="2">
        <v>19.5</v>
      </c>
      <c r="E141" s="2">
        <v>3</v>
      </c>
      <c r="F141" s="2">
        <v>1</v>
      </c>
      <c r="G141" s="2">
        <v>25</v>
      </c>
    </row>
    <row r="142" spans="1:7" x14ac:dyDescent="0.3">
      <c r="A142" s="2" t="s">
        <v>149</v>
      </c>
      <c r="B142" s="2" t="s">
        <v>104</v>
      </c>
      <c r="C142" s="2">
        <v>61.8</v>
      </c>
      <c r="D142" s="2">
        <v>9.6</v>
      </c>
      <c r="E142" s="2">
        <v>5</v>
      </c>
      <c r="F142" s="2">
        <v>1</v>
      </c>
      <c r="G142" s="2">
        <v>55</v>
      </c>
    </row>
    <row r="143" spans="1:7" x14ac:dyDescent="0.3">
      <c r="A143" s="2" t="s">
        <v>150</v>
      </c>
      <c r="B143" s="2" t="s">
        <v>104</v>
      </c>
      <c r="C143" s="2">
        <v>68.599999999999994</v>
      </c>
      <c r="D143" s="2">
        <v>11.8</v>
      </c>
      <c r="E143" s="2">
        <v>5</v>
      </c>
      <c r="F143" s="2">
        <v>0</v>
      </c>
      <c r="G143" s="2">
        <v>19</v>
      </c>
    </row>
    <row r="144" spans="1:7" x14ac:dyDescent="0.3">
      <c r="A144" s="2" t="s">
        <v>151</v>
      </c>
      <c r="B144" s="2" t="s">
        <v>104</v>
      </c>
      <c r="C144" s="2">
        <v>67.2</v>
      </c>
      <c r="D144" s="2">
        <v>16</v>
      </c>
      <c r="E144" s="2">
        <v>4</v>
      </c>
      <c r="F144" s="2">
        <v>2</v>
      </c>
      <c r="G144" s="2">
        <v>31</v>
      </c>
    </row>
    <row r="145" spans="1:7" x14ac:dyDescent="0.3">
      <c r="A145" s="2" t="s">
        <v>152</v>
      </c>
      <c r="B145" s="2" t="s">
        <v>104</v>
      </c>
      <c r="C145" s="2">
        <v>70.2</v>
      </c>
      <c r="D145" s="2">
        <v>10.7</v>
      </c>
      <c r="E145" s="2">
        <v>6</v>
      </c>
      <c r="F145" s="2">
        <v>1</v>
      </c>
      <c r="G145" s="2">
        <v>38</v>
      </c>
    </row>
    <row r="146" spans="1:7" x14ac:dyDescent="0.3">
      <c r="A146" s="2" t="s">
        <v>153</v>
      </c>
      <c r="B146" s="2" t="s">
        <v>104</v>
      </c>
      <c r="C146" s="2">
        <v>64.5</v>
      </c>
      <c r="D146" s="2">
        <v>17</v>
      </c>
      <c r="E146" s="2">
        <v>3</v>
      </c>
      <c r="F146" s="2">
        <v>1</v>
      </c>
      <c r="G146" s="2">
        <v>36</v>
      </c>
    </row>
    <row r="147" spans="1:7" x14ac:dyDescent="0.3">
      <c r="A147" s="2" t="s">
        <v>154</v>
      </c>
      <c r="B147" s="2" t="s">
        <v>104</v>
      </c>
      <c r="C147" s="2">
        <v>68.099999999999994</v>
      </c>
      <c r="D147" s="2">
        <v>10.9</v>
      </c>
      <c r="E147" s="2">
        <v>6</v>
      </c>
      <c r="F147" s="2">
        <v>0</v>
      </c>
      <c r="G147" s="2">
        <v>96</v>
      </c>
    </row>
    <row r="148" spans="1:7" x14ac:dyDescent="0.3">
      <c r="A148" s="2" t="s">
        <v>155</v>
      </c>
      <c r="B148" s="2" t="s">
        <v>104</v>
      </c>
      <c r="C148" s="2">
        <v>86.6</v>
      </c>
      <c r="D148" s="2">
        <v>21</v>
      </c>
      <c r="E148" s="2">
        <v>6</v>
      </c>
      <c r="F148" s="2">
        <v>0</v>
      </c>
      <c r="G148" s="2">
        <v>50</v>
      </c>
    </row>
    <row r="149" spans="1:7" x14ac:dyDescent="0.3">
      <c r="A149" s="2" t="s">
        <v>156</v>
      </c>
      <c r="B149" s="2" t="s">
        <v>104</v>
      </c>
      <c r="C149" s="2">
        <v>75.2</v>
      </c>
      <c r="D149" s="2">
        <v>14.4</v>
      </c>
      <c r="E149" s="2">
        <v>6</v>
      </c>
      <c r="F149" s="2">
        <v>1</v>
      </c>
      <c r="G149" s="2">
        <v>136</v>
      </c>
    </row>
    <row r="150" spans="1:7" x14ac:dyDescent="0.3">
      <c r="A150" s="2" t="s">
        <v>157</v>
      </c>
      <c r="B150" s="2" t="s">
        <v>104</v>
      </c>
      <c r="C150" s="2">
        <v>79.8</v>
      </c>
      <c r="D150" s="2">
        <v>10.1</v>
      </c>
      <c r="E150" s="2">
        <v>5</v>
      </c>
      <c r="F150" s="2">
        <v>0</v>
      </c>
      <c r="G150" s="2">
        <v>31</v>
      </c>
    </row>
    <row r="151" spans="1:7" x14ac:dyDescent="0.3">
      <c r="A151" s="2" t="s">
        <v>158</v>
      </c>
      <c r="B151" s="2" t="s">
        <v>104</v>
      </c>
      <c r="C151" s="2">
        <v>63.5</v>
      </c>
      <c r="D151" s="2">
        <v>18.8</v>
      </c>
      <c r="E151" s="2">
        <v>5</v>
      </c>
      <c r="F151" s="2">
        <v>3</v>
      </c>
      <c r="G151" s="2">
        <v>166</v>
      </c>
    </row>
    <row r="152" spans="1:7" x14ac:dyDescent="0.3">
      <c r="A152" s="2" t="s">
        <v>159</v>
      </c>
      <c r="B152" s="2" t="s">
        <v>104</v>
      </c>
      <c r="C152" s="2">
        <v>88.2</v>
      </c>
      <c r="D152" s="2">
        <v>9.6</v>
      </c>
      <c r="E152" s="2">
        <v>1</v>
      </c>
      <c r="F152" s="2">
        <v>0</v>
      </c>
      <c r="G152" s="2">
        <v>61</v>
      </c>
    </row>
    <row r="153" spans="1:7" x14ac:dyDescent="0.3">
      <c r="A153" s="2" t="s">
        <v>160</v>
      </c>
      <c r="B153" s="2" t="s">
        <v>104</v>
      </c>
      <c r="C153" s="2">
        <v>63.8</v>
      </c>
      <c r="D153" s="2">
        <v>20.2</v>
      </c>
      <c r="E153" s="2">
        <v>6</v>
      </c>
      <c r="F153" s="2">
        <v>1</v>
      </c>
      <c r="G153" s="2">
        <v>64</v>
      </c>
    </row>
    <row r="154" spans="1:7" x14ac:dyDescent="0.3">
      <c r="A154" s="2" t="s">
        <v>161</v>
      </c>
      <c r="B154" s="2" t="s">
        <v>104</v>
      </c>
      <c r="C154" s="2">
        <v>49.6</v>
      </c>
      <c r="D154" s="2">
        <v>12.6</v>
      </c>
      <c r="E154" s="2">
        <v>7</v>
      </c>
      <c r="F154" s="2">
        <v>3</v>
      </c>
      <c r="G154" s="2">
        <v>92</v>
      </c>
    </row>
    <row r="155" spans="1:7" x14ac:dyDescent="0.3">
      <c r="A155" s="2" t="s">
        <v>162</v>
      </c>
      <c r="B155" s="2" t="s">
        <v>104</v>
      </c>
      <c r="C155" s="2">
        <v>72.400000000000006</v>
      </c>
      <c r="D155" s="2">
        <v>19.899999999999999</v>
      </c>
      <c r="E155" s="2">
        <v>7</v>
      </c>
      <c r="F155" s="2">
        <v>2</v>
      </c>
      <c r="G155" s="2">
        <v>46</v>
      </c>
    </row>
    <row r="156" spans="1:7" x14ac:dyDescent="0.3">
      <c r="A156" s="2" t="s">
        <v>163</v>
      </c>
      <c r="B156" s="2" t="s">
        <v>104</v>
      </c>
      <c r="C156" s="2">
        <v>67.2</v>
      </c>
      <c r="D156" s="2">
        <v>17.5</v>
      </c>
      <c r="E156" s="2">
        <v>9</v>
      </c>
      <c r="F156" s="2">
        <v>2</v>
      </c>
      <c r="G156" s="2">
        <v>133</v>
      </c>
    </row>
    <row r="157" spans="1:7" x14ac:dyDescent="0.3">
      <c r="A157" s="2" t="s">
        <v>164</v>
      </c>
      <c r="B157" s="2" t="s">
        <v>104</v>
      </c>
      <c r="C157" s="2">
        <v>80.599999999999994</v>
      </c>
      <c r="D157" s="2">
        <v>9.1999999999999993</v>
      </c>
      <c r="E157" s="2">
        <v>3</v>
      </c>
      <c r="F157" s="2">
        <v>0</v>
      </c>
      <c r="G157" s="2">
        <v>32</v>
      </c>
    </row>
    <row r="158" spans="1:7" x14ac:dyDescent="0.3">
      <c r="A158" s="2" t="s">
        <v>165</v>
      </c>
      <c r="B158" s="2" t="s">
        <v>104</v>
      </c>
      <c r="C158" s="2">
        <v>57.3</v>
      </c>
      <c r="D158" s="2">
        <v>12.4</v>
      </c>
      <c r="E158" s="2">
        <v>6</v>
      </c>
      <c r="F158" s="2">
        <v>2</v>
      </c>
      <c r="G158" s="2">
        <v>68</v>
      </c>
    </row>
    <row r="159" spans="1:7" x14ac:dyDescent="0.3">
      <c r="A159" s="2" t="s">
        <v>166</v>
      </c>
      <c r="B159" s="2" t="s">
        <v>104</v>
      </c>
      <c r="C159" s="2">
        <v>65.3</v>
      </c>
      <c r="D159" s="2">
        <v>15.3</v>
      </c>
      <c r="E159" s="2">
        <v>4</v>
      </c>
      <c r="F159" s="2">
        <v>1</v>
      </c>
      <c r="G159" s="2">
        <v>45</v>
      </c>
    </row>
    <row r="160" spans="1:7" x14ac:dyDescent="0.3">
      <c r="A160" s="2" t="s">
        <v>167</v>
      </c>
      <c r="B160" s="2" t="s">
        <v>104</v>
      </c>
      <c r="C160" s="2">
        <v>71.2</v>
      </c>
      <c r="D160" s="2">
        <v>13.3</v>
      </c>
      <c r="E160" s="2">
        <v>6</v>
      </c>
      <c r="F160" s="2">
        <v>4</v>
      </c>
      <c r="G160" s="2">
        <v>12</v>
      </c>
    </row>
    <row r="161" spans="1:7" x14ac:dyDescent="0.3">
      <c r="A161" s="2" t="s">
        <v>168</v>
      </c>
      <c r="B161" s="2" t="s">
        <v>104</v>
      </c>
      <c r="C161" s="2">
        <v>65.7</v>
      </c>
      <c r="D161" s="2">
        <v>12.8</v>
      </c>
      <c r="E161" s="2">
        <v>6</v>
      </c>
      <c r="F161" s="2">
        <v>1</v>
      </c>
      <c r="G161" s="2">
        <v>32</v>
      </c>
    </row>
    <row r="162" spans="1:7" x14ac:dyDescent="0.3">
      <c r="A162" s="2" t="s">
        <v>169</v>
      </c>
      <c r="B162" s="2" t="s">
        <v>104</v>
      </c>
      <c r="C162" s="2">
        <v>57</v>
      </c>
      <c r="D162" s="2">
        <v>9.6</v>
      </c>
      <c r="E162" s="2">
        <v>2</v>
      </c>
      <c r="F162" s="2">
        <v>0</v>
      </c>
      <c r="G162" s="2">
        <v>37</v>
      </c>
    </row>
    <row r="163" spans="1:7" x14ac:dyDescent="0.3">
      <c r="A163" s="2" t="s">
        <v>170</v>
      </c>
      <c r="B163" s="2" t="s">
        <v>104</v>
      </c>
      <c r="C163" s="2">
        <v>63.8</v>
      </c>
      <c r="D163" s="2">
        <v>11.6</v>
      </c>
      <c r="E163" s="2">
        <v>7</v>
      </c>
      <c r="F163" s="2">
        <v>2</v>
      </c>
      <c r="G163" s="2">
        <v>63</v>
      </c>
    </row>
    <row r="164" spans="1:7" x14ac:dyDescent="0.3">
      <c r="A164" s="2" t="s">
        <v>171</v>
      </c>
      <c r="B164" s="2" t="s">
        <v>104</v>
      </c>
      <c r="C164" s="2">
        <v>67</v>
      </c>
      <c r="D164" s="2">
        <v>11.8</v>
      </c>
      <c r="E164" s="2">
        <v>7</v>
      </c>
      <c r="F164" s="2">
        <v>2</v>
      </c>
      <c r="G164" s="2">
        <v>48</v>
      </c>
    </row>
    <row r="165" spans="1:7" x14ac:dyDescent="0.3">
      <c r="A165" s="2" t="s">
        <v>172</v>
      </c>
      <c r="B165" s="2" t="s">
        <v>104</v>
      </c>
      <c r="C165" s="2">
        <v>73</v>
      </c>
      <c r="D165" s="2">
        <v>11.3</v>
      </c>
      <c r="E165" s="2">
        <v>3</v>
      </c>
      <c r="F165" s="2">
        <v>1</v>
      </c>
      <c r="G165" s="2">
        <v>143</v>
      </c>
    </row>
    <row r="166" spans="1:7" x14ac:dyDescent="0.3">
      <c r="A166" s="2" t="s">
        <v>173</v>
      </c>
      <c r="B166" s="2" t="s">
        <v>104</v>
      </c>
      <c r="C166" s="2">
        <v>60.4</v>
      </c>
      <c r="D166" s="2">
        <v>19.2</v>
      </c>
      <c r="E166" s="2">
        <v>6</v>
      </c>
      <c r="F166" s="2">
        <v>1</v>
      </c>
      <c r="G166" s="2">
        <v>28</v>
      </c>
    </row>
    <row r="167" spans="1:7" x14ac:dyDescent="0.3">
      <c r="A167" s="2" t="s">
        <v>174</v>
      </c>
      <c r="B167" s="2" t="s">
        <v>104</v>
      </c>
      <c r="C167" s="2">
        <v>80.599999999999994</v>
      </c>
      <c r="D167" s="2">
        <v>10.8</v>
      </c>
      <c r="E167" s="2">
        <v>6</v>
      </c>
      <c r="F167" s="2">
        <v>2</v>
      </c>
      <c r="G167" s="2">
        <v>29</v>
      </c>
    </row>
    <row r="168" spans="1:7" x14ac:dyDescent="0.3">
      <c r="A168" s="2" t="s">
        <v>175</v>
      </c>
      <c r="B168" s="2" t="s">
        <v>104</v>
      </c>
      <c r="C168" s="2">
        <v>76.599999999999994</v>
      </c>
      <c r="D168" s="2">
        <v>13.9</v>
      </c>
      <c r="E168" s="2">
        <v>7</v>
      </c>
      <c r="F168" s="2">
        <v>1</v>
      </c>
      <c r="G168" s="2">
        <v>33</v>
      </c>
    </row>
    <row r="169" spans="1:7" x14ac:dyDescent="0.3">
      <c r="A169" s="2" t="s">
        <v>176</v>
      </c>
      <c r="B169" s="2" t="s">
        <v>104</v>
      </c>
      <c r="C169" s="2">
        <v>74.8</v>
      </c>
      <c r="D169" s="2">
        <v>21.2</v>
      </c>
      <c r="E169" s="2">
        <v>3</v>
      </c>
      <c r="F169" s="2">
        <v>1</v>
      </c>
      <c r="G169" s="2">
        <v>48</v>
      </c>
    </row>
    <row r="170" spans="1:7" x14ac:dyDescent="0.3">
      <c r="A170" s="2" t="s">
        <v>177</v>
      </c>
      <c r="B170" s="2" t="s">
        <v>104</v>
      </c>
      <c r="C170" s="2">
        <v>76.2</v>
      </c>
      <c r="D170" s="2">
        <v>14.6</v>
      </c>
      <c r="E170" s="2">
        <v>9</v>
      </c>
      <c r="F170" s="2">
        <v>7</v>
      </c>
      <c r="G170" s="2">
        <v>10</v>
      </c>
    </row>
    <row r="171" spans="1:7" x14ac:dyDescent="0.3">
      <c r="A171" s="2" t="s">
        <v>178</v>
      </c>
      <c r="B171" s="2" t="s">
        <v>104</v>
      </c>
      <c r="C171" s="2">
        <v>61.6</v>
      </c>
      <c r="D171" s="2">
        <v>11.5</v>
      </c>
      <c r="E171" s="2">
        <v>3</v>
      </c>
      <c r="F171" s="2">
        <v>1</v>
      </c>
      <c r="G171" s="2">
        <v>74</v>
      </c>
    </row>
    <row r="172" spans="1:7" x14ac:dyDescent="0.3">
      <c r="A172" s="2" t="s">
        <v>179</v>
      </c>
      <c r="B172" s="2" t="s">
        <v>104</v>
      </c>
      <c r="C172" s="2">
        <v>81.2</v>
      </c>
      <c r="D172" s="2">
        <v>8.1999999999999993</v>
      </c>
      <c r="E172" s="2">
        <v>7</v>
      </c>
      <c r="F172" s="2">
        <v>4</v>
      </c>
      <c r="G172" s="2">
        <v>33</v>
      </c>
    </row>
    <row r="173" spans="1:7" x14ac:dyDescent="0.3">
      <c r="A173" s="2" t="s">
        <v>180</v>
      </c>
      <c r="B173" s="2" t="s">
        <v>104</v>
      </c>
      <c r="C173" s="2">
        <v>78.900000000000006</v>
      </c>
      <c r="D173" s="2">
        <v>16.5</v>
      </c>
      <c r="E173" s="2">
        <v>5</v>
      </c>
      <c r="F173" s="2">
        <v>1</v>
      </c>
      <c r="G173" s="2">
        <v>35</v>
      </c>
    </row>
    <row r="174" spans="1:7" x14ac:dyDescent="0.3">
      <c r="A174" s="2" t="s">
        <v>181</v>
      </c>
      <c r="B174" s="2" t="s">
        <v>104</v>
      </c>
      <c r="C174" s="2">
        <v>66.099999999999994</v>
      </c>
      <c r="D174" s="2">
        <v>15.6</v>
      </c>
      <c r="E174" s="2">
        <v>6</v>
      </c>
      <c r="F174" s="2">
        <v>0</v>
      </c>
      <c r="G174" s="2">
        <v>91</v>
      </c>
    </row>
    <row r="175" spans="1:7" x14ac:dyDescent="0.3">
      <c r="A175" s="2" t="s">
        <v>182</v>
      </c>
      <c r="B175" s="2" t="s">
        <v>104</v>
      </c>
      <c r="C175" s="2">
        <v>80.7</v>
      </c>
      <c r="D175" s="2">
        <v>19.3</v>
      </c>
      <c r="E175" s="2">
        <v>5</v>
      </c>
      <c r="F175" s="2">
        <v>2</v>
      </c>
      <c r="G175" s="2">
        <v>16</v>
      </c>
    </row>
    <row r="176" spans="1:7" x14ac:dyDescent="0.3">
      <c r="A176" s="2" t="s">
        <v>183</v>
      </c>
      <c r="B176" s="2" t="s">
        <v>104</v>
      </c>
      <c r="C176" s="2">
        <v>73.5</v>
      </c>
      <c r="D176" s="2">
        <v>15</v>
      </c>
      <c r="E176" s="2">
        <v>4</v>
      </c>
      <c r="F176" s="2">
        <v>1</v>
      </c>
      <c r="G176" s="2">
        <v>141</v>
      </c>
    </row>
    <row r="177" spans="1:7" x14ac:dyDescent="0.3">
      <c r="A177" s="2" t="s">
        <v>184</v>
      </c>
      <c r="B177" s="2" t="s">
        <v>104</v>
      </c>
      <c r="C177" s="2">
        <v>80.8</v>
      </c>
      <c r="D177" s="2">
        <v>8.8000000000000007</v>
      </c>
      <c r="E177" s="2">
        <v>5</v>
      </c>
      <c r="F177" s="2">
        <v>1</v>
      </c>
      <c r="G177" s="2">
        <v>101</v>
      </c>
    </row>
    <row r="178" spans="1:7" x14ac:dyDescent="0.3">
      <c r="A178" s="2" t="s">
        <v>185</v>
      </c>
      <c r="B178" s="2" t="s">
        <v>104</v>
      </c>
      <c r="C178" s="2">
        <v>69.2</v>
      </c>
      <c r="D178" s="2">
        <v>16.2</v>
      </c>
      <c r="E178" s="2">
        <v>7</v>
      </c>
      <c r="F178" s="2">
        <v>0</v>
      </c>
      <c r="G178" s="2">
        <v>88</v>
      </c>
    </row>
    <row r="179" spans="1:7" x14ac:dyDescent="0.3">
      <c r="A179" s="2" t="s">
        <v>186</v>
      </c>
      <c r="B179" s="2" t="s">
        <v>104</v>
      </c>
      <c r="C179" s="2">
        <v>86.6</v>
      </c>
      <c r="D179" s="2">
        <v>24.5</v>
      </c>
      <c r="E179" s="2">
        <v>6</v>
      </c>
      <c r="F179" s="2">
        <v>0</v>
      </c>
      <c r="G179" s="2">
        <v>93</v>
      </c>
    </row>
    <row r="180" spans="1:7" x14ac:dyDescent="0.3">
      <c r="A180" s="2" t="s">
        <v>187</v>
      </c>
      <c r="B180" s="2" t="s">
        <v>104</v>
      </c>
      <c r="C180" s="2">
        <v>72.7</v>
      </c>
      <c r="D180" s="2">
        <v>24.1</v>
      </c>
      <c r="E180" s="2">
        <v>6</v>
      </c>
      <c r="F180" s="2">
        <v>4</v>
      </c>
      <c r="G180" s="2">
        <v>14</v>
      </c>
    </row>
    <row r="181" spans="1:7" x14ac:dyDescent="0.3">
      <c r="A181" s="2" t="s">
        <v>188</v>
      </c>
      <c r="B181" s="2" t="s">
        <v>104</v>
      </c>
      <c r="C181" s="2">
        <v>86.1</v>
      </c>
      <c r="D181" s="2">
        <v>9.4</v>
      </c>
      <c r="E181" s="2">
        <v>2</v>
      </c>
      <c r="F181" s="2">
        <v>1</v>
      </c>
      <c r="G181" s="2">
        <v>150</v>
      </c>
    </row>
    <row r="182" spans="1:7" x14ac:dyDescent="0.3">
      <c r="A182" s="2" t="s">
        <v>189</v>
      </c>
      <c r="B182" s="2" t="s">
        <v>104</v>
      </c>
      <c r="C182" s="2">
        <v>80</v>
      </c>
      <c r="D182" s="2">
        <v>15.7</v>
      </c>
      <c r="E182" s="2">
        <v>8</v>
      </c>
      <c r="F182" s="2">
        <v>2</v>
      </c>
      <c r="G182" s="2">
        <v>42</v>
      </c>
    </row>
    <row r="183" spans="1:7" x14ac:dyDescent="0.3">
      <c r="A183" s="2" t="s">
        <v>190</v>
      </c>
      <c r="B183" s="2" t="s">
        <v>104</v>
      </c>
      <c r="C183" s="2">
        <v>94.3</v>
      </c>
      <c r="D183" s="2">
        <v>8.6999999999999993</v>
      </c>
      <c r="E183" s="2">
        <v>4</v>
      </c>
      <c r="F183" s="2">
        <v>0</v>
      </c>
      <c r="G183" s="2">
        <v>27</v>
      </c>
    </row>
    <row r="184" spans="1:7" x14ac:dyDescent="0.3">
      <c r="A184" s="2" t="s">
        <v>191</v>
      </c>
      <c r="B184" s="2" t="s">
        <v>104</v>
      </c>
      <c r="C184" s="2">
        <v>72.599999999999994</v>
      </c>
      <c r="D184" s="2">
        <v>16.3</v>
      </c>
      <c r="E184" s="2">
        <v>5</v>
      </c>
      <c r="F184" s="2">
        <v>1</v>
      </c>
      <c r="G184" s="2">
        <v>83</v>
      </c>
    </row>
    <row r="185" spans="1:7" x14ac:dyDescent="0.3">
      <c r="A185" s="2" t="s">
        <v>192</v>
      </c>
      <c r="B185" s="2" t="s">
        <v>193</v>
      </c>
      <c r="C185" s="2">
        <v>77.400000000000006</v>
      </c>
      <c r="D185" s="2">
        <v>21.6</v>
      </c>
      <c r="E185" s="2">
        <v>6</v>
      </c>
      <c r="F185" s="2">
        <v>1</v>
      </c>
      <c r="G185" s="2">
        <v>24</v>
      </c>
    </row>
    <row r="186" spans="1:7" x14ac:dyDescent="0.3">
      <c r="A186" s="2" t="s">
        <v>194</v>
      </c>
      <c r="B186" s="2" t="s">
        <v>193</v>
      </c>
      <c r="C186" s="2">
        <v>80.3</v>
      </c>
      <c r="D186" s="2">
        <v>22</v>
      </c>
      <c r="E186" s="2">
        <v>6</v>
      </c>
      <c r="F186" s="2">
        <v>2</v>
      </c>
      <c r="G186" s="2">
        <v>133</v>
      </c>
    </row>
    <row r="187" spans="1:7" x14ac:dyDescent="0.3">
      <c r="A187" s="2" t="s">
        <v>195</v>
      </c>
      <c r="B187" s="2" t="s">
        <v>193</v>
      </c>
      <c r="C187" s="2">
        <v>80.099999999999994</v>
      </c>
      <c r="D187" s="2">
        <v>14.7</v>
      </c>
      <c r="E187" s="2">
        <v>3</v>
      </c>
      <c r="F187" s="2">
        <v>1</v>
      </c>
      <c r="G187" s="2">
        <v>33</v>
      </c>
    </row>
    <row r="188" spans="1:7" x14ac:dyDescent="0.3">
      <c r="A188" s="2" t="s">
        <v>196</v>
      </c>
      <c r="B188" s="2" t="s">
        <v>193</v>
      </c>
      <c r="C188" s="2">
        <v>64.099999999999994</v>
      </c>
      <c r="D188" s="2">
        <v>16.5</v>
      </c>
      <c r="E188" s="2">
        <v>5</v>
      </c>
      <c r="F188" s="2">
        <v>1</v>
      </c>
      <c r="G188" s="2">
        <v>30</v>
      </c>
    </row>
    <row r="189" spans="1:7" x14ac:dyDescent="0.3">
      <c r="A189" s="2" t="s">
        <v>197</v>
      </c>
      <c r="B189" s="2" t="s">
        <v>193</v>
      </c>
      <c r="C189" s="2">
        <v>73.8</v>
      </c>
      <c r="D189" s="2">
        <v>16</v>
      </c>
      <c r="E189" s="2">
        <v>7</v>
      </c>
      <c r="F189" s="2">
        <v>3</v>
      </c>
      <c r="G189" s="2">
        <v>23</v>
      </c>
    </row>
    <row r="190" spans="1:7" x14ac:dyDescent="0.3">
      <c r="A190" s="2" t="s">
        <v>198</v>
      </c>
      <c r="B190" s="2" t="s">
        <v>193</v>
      </c>
      <c r="C190" s="2">
        <v>74.8</v>
      </c>
      <c r="D190" s="2">
        <v>19.5</v>
      </c>
      <c r="E190" s="2">
        <v>5</v>
      </c>
      <c r="F190" s="2">
        <v>1</v>
      </c>
      <c r="G190" s="2">
        <v>88</v>
      </c>
    </row>
    <row r="191" spans="1:7" x14ac:dyDescent="0.3">
      <c r="A191" s="2" t="s">
        <v>199</v>
      </c>
      <c r="B191" s="2" t="s">
        <v>193</v>
      </c>
      <c r="C191" s="2">
        <v>77.599999999999994</v>
      </c>
      <c r="D191" s="2">
        <v>14.6</v>
      </c>
      <c r="E191" s="2">
        <v>2</v>
      </c>
      <c r="F191" s="2">
        <v>1</v>
      </c>
      <c r="G191" s="2">
        <v>58</v>
      </c>
    </row>
    <row r="192" spans="1:7" x14ac:dyDescent="0.3">
      <c r="A192" s="2" t="s">
        <v>200</v>
      </c>
      <c r="B192" s="2" t="s">
        <v>193</v>
      </c>
      <c r="C192" s="2">
        <v>78.2</v>
      </c>
      <c r="D192" s="2">
        <v>18.100000000000001</v>
      </c>
      <c r="E192" s="2">
        <v>3</v>
      </c>
      <c r="F192" s="2">
        <v>2</v>
      </c>
      <c r="G192" s="2">
        <v>23</v>
      </c>
    </row>
    <row r="193" spans="1:7" x14ac:dyDescent="0.3">
      <c r="A193" s="2" t="s">
        <v>201</v>
      </c>
      <c r="B193" s="2" t="s">
        <v>193</v>
      </c>
      <c r="C193" s="2">
        <v>71.2</v>
      </c>
      <c r="D193" s="2">
        <v>23.6</v>
      </c>
      <c r="E193" s="2">
        <v>4</v>
      </c>
      <c r="F193" s="2">
        <v>0</v>
      </c>
      <c r="G193" s="2">
        <v>117</v>
      </c>
    </row>
    <row r="194" spans="1:7" x14ac:dyDescent="0.3">
      <c r="A194" s="2" t="s">
        <v>202</v>
      </c>
      <c r="B194" s="2" t="s">
        <v>193</v>
      </c>
      <c r="C194" s="2">
        <v>71.5</v>
      </c>
      <c r="D194" s="2">
        <v>16.7</v>
      </c>
      <c r="E194" s="2">
        <v>10</v>
      </c>
      <c r="F194" s="2">
        <v>2</v>
      </c>
      <c r="G194" s="2">
        <v>80</v>
      </c>
    </row>
    <row r="195" spans="1:7" x14ac:dyDescent="0.3">
      <c r="A195" s="2" t="s">
        <v>203</v>
      </c>
      <c r="B195" s="2" t="s">
        <v>193</v>
      </c>
      <c r="C195" s="2">
        <v>75.400000000000006</v>
      </c>
      <c r="D195" s="2">
        <v>17.2</v>
      </c>
      <c r="E195" s="2">
        <v>3</v>
      </c>
      <c r="F195" s="2">
        <v>0</v>
      </c>
      <c r="G195" s="2">
        <v>233</v>
      </c>
    </row>
    <row r="196" spans="1:7" x14ac:dyDescent="0.3">
      <c r="A196" s="2" t="s">
        <v>204</v>
      </c>
      <c r="B196" s="2" t="s">
        <v>193</v>
      </c>
      <c r="C196" s="2">
        <v>66.8</v>
      </c>
      <c r="D196" s="2">
        <v>15.1</v>
      </c>
      <c r="E196" s="2">
        <v>7</v>
      </c>
      <c r="F196" s="2">
        <v>1</v>
      </c>
      <c r="G196" s="2">
        <v>134</v>
      </c>
    </row>
    <row r="197" spans="1:7" x14ac:dyDescent="0.3">
      <c r="A197" s="2" t="s">
        <v>205</v>
      </c>
      <c r="B197" s="2" t="s">
        <v>193</v>
      </c>
      <c r="C197" s="2">
        <v>80.3</v>
      </c>
      <c r="D197" s="2">
        <v>13.2</v>
      </c>
      <c r="E197" s="2">
        <v>5</v>
      </c>
      <c r="F197" s="2">
        <v>2</v>
      </c>
      <c r="G197" s="2">
        <v>67</v>
      </c>
    </row>
    <row r="198" spans="1:7" x14ac:dyDescent="0.3">
      <c r="A198" s="2" t="s">
        <v>206</v>
      </c>
      <c r="B198" s="2" t="s">
        <v>193</v>
      </c>
      <c r="C198" s="2">
        <v>74.8</v>
      </c>
      <c r="D198" s="2">
        <v>21.4</v>
      </c>
      <c r="E198" s="2">
        <v>6</v>
      </c>
      <c r="F198" s="2">
        <v>3</v>
      </c>
      <c r="G198" s="2">
        <v>47</v>
      </c>
    </row>
    <row r="199" spans="1:7" x14ac:dyDescent="0.3">
      <c r="A199" s="2" t="s">
        <v>207</v>
      </c>
      <c r="B199" s="2" t="s">
        <v>193</v>
      </c>
      <c r="C199" s="2">
        <v>77.2</v>
      </c>
      <c r="D199" s="2">
        <v>23.1</v>
      </c>
      <c r="E199" s="2">
        <v>5</v>
      </c>
      <c r="F199" s="2">
        <v>1</v>
      </c>
      <c r="G199" s="2">
        <v>46</v>
      </c>
    </row>
    <row r="200" spans="1:7" x14ac:dyDescent="0.3">
      <c r="A200" s="2" t="s">
        <v>208</v>
      </c>
      <c r="B200" s="2" t="s">
        <v>193</v>
      </c>
      <c r="C200" s="2">
        <v>79.7</v>
      </c>
      <c r="D200" s="2">
        <v>6.4</v>
      </c>
      <c r="E200" s="2">
        <v>4</v>
      </c>
      <c r="F200" s="2">
        <v>2</v>
      </c>
      <c r="G200" s="2">
        <v>31</v>
      </c>
    </row>
    <row r="201" spans="1:7" x14ac:dyDescent="0.3">
      <c r="A201" s="2" t="s">
        <v>209</v>
      </c>
      <c r="B201" s="2" t="s">
        <v>193</v>
      </c>
      <c r="C201" s="2">
        <v>75.599999999999994</v>
      </c>
      <c r="D201" s="2">
        <v>15.4</v>
      </c>
      <c r="E201" s="2">
        <v>4</v>
      </c>
      <c r="F201" s="2">
        <v>0</v>
      </c>
      <c r="G201" s="2">
        <v>38</v>
      </c>
    </row>
    <row r="202" spans="1:7" x14ac:dyDescent="0.3">
      <c r="A202" s="2" t="s">
        <v>210</v>
      </c>
      <c r="B202" s="2" t="s">
        <v>193</v>
      </c>
      <c r="C202" s="2">
        <v>82.7</v>
      </c>
      <c r="D202" s="2">
        <v>12.3</v>
      </c>
      <c r="E202" s="2">
        <v>4</v>
      </c>
      <c r="F202" s="2">
        <v>1</v>
      </c>
      <c r="G202" s="2">
        <v>24</v>
      </c>
    </row>
    <row r="203" spans="1:7" x14ac:dyDescent="0.3">
      <c r="A203" s="2" t="s">
        <v>211</v>
      </c>
      <c r="B203" s="2" t="s">
        <v>193</v>
      </c>
      <c r="C203" s="2">
        <v>77.7</v>
      </c>
      <c r="D203" s="2">
        <v>14.8</v>
      </c>
      <c r="E203" s="2">
        <v>3</v>
      </c>
      <c r="F203" s="2">
        <v>1</v>
      </c>
      <c r="G203" s="2">
        <v>109</v>
      </c>
    </row>
    <row r="204" spans="1:7" x14ac:dyDescent="0.3">
      <c r="A204" s="2" t="s">
        <v>212</v>
      </c>
      <c r="B204" s="2" t="s">
        <v>193</v>
      </c>
      <c r="C204" s="2">
        <v>74.900000000000006</v>
      </c>
      <c r="D204" s="2">
        <v>8.5</v>
      </c>
      <c r="E204" s="2">
        <v>7</v>
      </c>
      <c r="F204" s="2">
        <v>3</v>
      </c>
      <c r="G204" s="2">
        <v>146</v>
      </c>
    </row>
    <row r="205" spans="1:7" x14ac:dyDescent="0.3">
      <c r="A205" s="2" t="s">
        <v>213</v>
      </c>
      <c r="B205" s="2" t="s">
        <v>193</v>
      </c>
      <c r="C205" s="2">
        <v>79.7</v>
      </c>
      <c r="D205" s="2">
        <v>12.7</v>
      </c>
      <c r="E205" s="2">
        <v>3</v>
      </c>
      <c r="F205" s="2">
        <v>1</v>
      </c>
      <c r="G205" s="2">
        <v>47</v>
      </c>
    </row>
    <row r="206" spans="1:7" x14ac:dyDescent="0.3">
      <c r="A206" s="2" t="s">
        <v>214</v>
      </c>
      <c r="B206" s="2" t="s">
        <v>193</v>
      </c>
      <c r="C206" s="2">
        <v>70.3</v>
      </c>
      <c r="D206" s="2">
        <v>22.3</v>
      </c>
      <c r="E206" s="2">
        <v>9</v>
      </c>
      <c r="F206" s="2">
        <v>4</v>
      </c>
      <c r="G206" s="2">
        <v>9</v>
      </c>
    </row>
    <row r="207" spans="1:7" x14ac:dyDescent="0.3">
      <c r="A207" s="2" t="s">
        <v>215</v>
      </c>
      <c r="B207" s="2" t="s">
        <v>193</v>
      </c>
      <c r="C207" s="2">
        <v>69.3</v>
      </c>
      <c r="D207" s="2">
        <v>9.6</v>
      </c>
      <c r="E207" s="2">
        <v>6</v>
      </c>
      <c r="F207" s="2">
        <v>2</v>
      </c>
      <c r="G207" s="2">
        <v>63</v>
      </c>
    </row>
    <row r="208" spans="1:7" x14ac:dyDescent="0.3">
      <c r="A208" s="2" t="s">
        <v>216</v>
      </c>
      <c r="B208" s="2" t="s">
        <v>193</v>
      </c>
      <c r="C208" s="2">
        <v>71.599999999999994</v>
      </c>
      <c r="D208" s="2">
        <v>20.9</v>
      </c>
      <c r="E208" s="2">
        <v>9</v>
      </c>
      <c r="F208" s="2">
        <v>3</v>
      </c>
      <c r="G208" s="2">
        <v>119</v>
      </c>
    </row>
    <row r="209" spans="1:7" x14ac:dyDescent="0.3">
      <c r="A209" s="2" t="s">
        <v>217</v>
      </c>
      <c r="B209" s="2" t="s">
        <v>193</v>
      </c>
      <c r="C209" s="2">
        <v>77.8</v>
      </c>
      <c r="D209" s="2">
        <v>19.5</v>
      </c>
      <c r="E209" s="2">
        <v>5</v>
      </c>
      <c r="F209" s="2">
        <v>2</v>
      </c>
      <c r="G209" s="2">
        <v>54</v>
      </c>
    </row>
    <row r="210" spans="1:7" x14ac:dyDescent="0.3">
      <c r="A210" s="2" t="s">
        <v>218</v>
      </c>
      <c r="B210" s="2" t="s">
        <v>193</v>
      </c>
      <c r="C210" s="2">
        <v>70.8</v>
      </c>
      <c r="D210" s="2">
        <v>7.8</v>
      </c>
      <c r="E210" s="2">
        <v>3</v>
      </c>
      <c r="F210" s="2">
        <v>0</v>
      </c>
      <c r="G210" s="2">
        <v>115</v>
      </c>
    </row>
    <row r="211" spans="1:7" x14ac:dyDescent="0.3">
      <c r="A211" s="2" t="s">
        <v>219</v>
      </c>
      <c r="B211" s="2" t="s">
        <v>193</v>
      </c>
      <c r="C211" s="2">
        <v>74.400000000000006</v>
      </c>
      <c r="D211" s="2">
        <v>20.2</v>
      </c>
      <c r="E211" s="2">
        <v>3</v>
      </c>
      <c r="F211" s="2">
        <v>1</v>
      </c>
      <c r="G211" s="2">
        <v>59</v>
      </c>
    </row>
    <row r="212" spans="1:7" x14ac:dyDescent="0.3">
      <c r="A212" s="2" t="s">
        <v>220</v>
      </c>
      <c r="B212" s="2" t="s">
        <v>193</v>
      </c>
      <c r="C212" s="2">
        <v>75.400000000000006</v>
      </c>
      <c r="D212" s="2">
        <v>10.4</v>
      </c>
      <c r="E212" s="2">
        <v>6</v>
      </c>
      <c r="F212" s="2">
        <v>2</v>
      </c>
      <c r="G212" s="2">
        <v>85</v>
      </c>
    </row>
    <row r="213" spans="1:7" x14ac:dyDescent="0.3">
      <c r="A213" s="2" t="s">
        <v>221</v>
      </c>
      <c r="B213" s="2" t="s">
        <v>193</v>
      </c>
      <c r="C213" s="2">
        <v>76.599999999999994</v>
      </c>
      <c r="D213" s="2">
        <v>15.4</v>
      </c>
      <c r="E213" s="2">
        <v>3</v>
      </c>
      <c r="F213" s="2">
        <v>1</v>
      </c>
      <c r="G213" s="2">
        <v>15</v>
      </c>
    </row>
    <row r="214" spans="1:7" x14ac:dyDescent="0.3">
      <c r="A214" s="2" t="s">
        <v>222</v>
      </c>
      <c r="B214" s="2" t="s">
        <v>193</v>
      </c>
      <c r="C214" s="2">
        <v>75.099999999999994</v>
      </c>
      <c r="D214" s="2">
        <v>11.4</v>
      </c>
      <c r="E214" s="2">
        <v>6</v>
      </c>
      <c r="F214" s="2">
        <v>4</v>
      </c>
      <c r="G214" s="2">
        <v>20</v>
      </c>
    </row>
    <row r="215" spans="1:7" x14ac:dyDescent="0.3">
      <c r="A215" s="2" t="s">
        <v>223</v>
      </c>
      <c r="B215" s="2" t="s">
        <v>193</v>
      </c>
      <c r="C215" s="2">
        <v>68.8</v>
      </c>
      <c r="D215" s="2">
        <v>17</v>
      </c>
      <c r="E215" s="2">
        <v>5</v>
      </c>
      <c r="F215" s="2">
        <v>1</v>
      </c>
      <c r="G215" s="2">
        <v>7</v>
      </c>
    </row>
    <row r="216" spans="1:7" x14ac:dyDescent="0.3">
      <c r="A216" s="2" t="s">
        <v>224</v>
      </c>
      <c r="B216" s="2" t="s">
        <v>193</v>
      </c>
      <c r="C216" s="2">
        <v>77.5</v>
      </c>
      <c r="D216" s="2">
        <v>17.100000000000001</v>
      </c>
      <c r="E216" s="2">
        <v>8</v>
      </c>
      <c r="F216" s="2">
        <v>3</v>
      </c>
      <c r="G216" s="2">
        <v>90</v>
      </c>
    </row>
    <row r="217" spans="1:7" x14ac:dyDescent="0.3">
      <c r="A217" s="2" t="s">
        <v>225</v>
      </c>
      <c r="B217" s="2" t="s">
        <v>193</v>
      </c>
      <c r="C217" s="2">
        <v>73</v>
      </c>
      <c r="D217" s="2">
        <v>7</v>
      </c>
      <c r="E217" s="2">
        <v>6</v>
      </c>
      <c r="F217" s="2">
        <v>4</v>
      </c>
      <c r="G217" s="2">
        <v>43</v>
      </c>
    </row>
    <row r="218" spans="1:7" x14ac:dyDescent="0.3">
      <c r="A218" s="2" t="s">
        <v>226</v>
      </c>
      <c r="B218" s="2" t="s">
        <v>193</v>
      </c>
      <c r="C218" s="2">
        <v>80.599999999999994</v>
      </c>
      <c r="D218" s="2">
        <v>8.3000000000000007</v>
      </c>
      <c r="E218" s="2">
        <v>5</v>
      </c>
      <c r="F218" s="2">
        <v>1</v>
      </c>
      <c r="G218" s="2">
        <v>19</v>
      </c>
    </row>
    <row r="219" spans="1:7" x14ac:dyDescent="0.3">
      <c r="A219" s="2" t="s">
        <v>227</v>
      </c>
      <c r="B219" s="2" t="s">
        <v>193</v>
      </c>
      <c r="C219" s="2">
        <v>72.8</v>
      </c>
      <c r="D219" s="2">
        <v>20.3</v>
      </c>
      <c r="E219" s="2">
        <v>2</v>
      </c>
      <c r="F219" s="2">
        <v>0</v>
      </c>
      <c r="G219" s="2">
        <v>37</v>
      </c>
    </row>
    <row r="220" spans="1:7" x14ac:dyDescent="0.3">
      <c r="A220" s="2" t="s">
        <v>228</v>
      </c>
      <c r="B220" s="2" t="s">
        <v>193</v>
      </c>
      <c r="C220" s="2">
        <v>68.099999999999994</v>
      </c>
      <c r="D220" s="2">
        <v>11.4</v>
      </c>
      <c r="E220" s="2">
        <v>11</v>
      </c>
      <c r="F220" s="2">
        <v>3</v>
      </c>
      <c r="G220" s="2">
        <v>27</v>
      </c>
    </row>
    <row r="221" spans="1:7" x14ac:dyDescent="0.3">
      <c r="A221" s="2" t="s">
        <v>229</v>
      </c>
      <c r="B221" s="2" t="s">
        <v>193</v>
      </c>
      <c r="C221" s="2">
        <v>75.599999999999994</v>
      </c>
      <c r="D221" s="2">
        <v>12.7</v>
      </c>
      <c r="E221" s="2">
        <v>4</v>
      </c>
      <c r="F221" s="2">
        <v>3</v>
      </c>
      <c r="G221" s="2">
        <v>21</v>
      </c>
    </row>
    <row r="222" spans="1:7" x14ac:dyDescent="0.3">
      <c r="A222" s="2" t="s">
        <v>230</v>
      </c>
      <c r="B222" s="2" t="s">
        <v>193</v>
      </c>
      <c r="C222" s="2">
        <v>74.2</v>
      </c>
      <c r="D222" s="2">
        <v>14.6</v>
      </c>
      <c r="E222" s="2">
        <v>4</v>
      </c>
      <c r="F222" s="2">
        <v>2</v>
      </c>
      <c r="G222" s="2">
        <v>34</v>
      </c>
    </row>
    <row r="223" spans="1:7" x14ac:dyDescent="0.3">
      <c r="A223" s="2" t="s">
        <v>231</v>
      </c>
      <c r="B223" s="2" t="s">
        <v>193</v>
      </c>
      <c r="C223" s="2">
        <v>83.3</v>
      </c>
      <c r="D223" s="2">
        <v>11</v>
      </c>
      <c r="E223" s="2">
        <v>2</v>
      </c>
      <c r="F223" s="2">
        <v>0</v>
      </c>
      <c r="G223" s="2">
        <v>78</v>
      </c>
    </row>
    <row r="224" spans="1:7" x14ac:dyDescent="0.3">
      <c r="A224" s="2" t="s">
        <v>232</v>
      </c>
      <c r="B224" s="2" t="s">
        <v>193</v>
      </c>
      <c r="C224" s="2">
        <v>68.8</v>
      </c>
      <c r="D224" s="2">
        <v>11.8</v>
      </c>
      <c r="E224" s="2">
        <v>4</v>
      </c>
      <c r="F224" s="2">
        <v>0</v>
      </c>
      <c r="G224" s="2">
        <v>27</v>
      </c>
    </row>
    <row r="225" spans="1:7" x14ac:dyDescent="0.3">
      <c r="A225" s="2" t="s">
        <v>233</v>
      </c>
      <c r="B225" s="2" t="s">
        <v>193</v>
      </c>
      <c r="C225" s="2">
        <v>72.7</v>
      </c>
      <c r="D225" s="2">
        <v>10</v>
      </c>
      <c r="E225" s="2">
        <v>7</v>
      </c>
      <c r="F225" s="2">
        <v>1</v>
      </c>
      <c r="G225" s="2">
        <v>52</v>
      </c>
    </row>
    <row r="226" spans="1:7" x14ac:dyDescent="0.3">
      <c r="A226" s="2" t="s">
        <v>234</v>
      </c>
      <c r="B226" s="2" t="s">
        <v>193</v>
      </c>
      <c r="C226" s="2">
        <v>69</v>
      </c>
      <c r="D226" s="2">
        <v>22.3</v>
      </c>
      <c r="E226" s="2">
        <v>7</v>
      </c>
      <c r="F226" s="2">
        <v>4</v>
      </c>
      <c r="G226" s="2">
        <v>29</v>
      </c>
    </row>
    <row r="227" spans="1:7" x14ac:dyDescent="0.3">
      <c r="A227" s="2" t="s">
        <v>235</v>
      </c>
      <c r="B227" s="2" t="s">
        <v>193</v>
      </c>
      <c r="C227" s="2">
        <v>70.2</v>
      </c>
      <c r="D227" s="2">
        <v>15.5</v>
      </c>
      <c r="E227" s="2">
        <v>5</v>
      </c>
      <c r="F227" s="2">
        <v>1</v>
      </c>
      <c r="G227" s="2">
        <v>43</v>
      </c>
    </row>
    <row r="228" spans="1:7" x14ac:dyDescent="0.3">
      <c r="A228" s="2" t="s">
        <v>236</v>
      </c>
      <c r="B228" s="2" t="s">
        <v>193</v>
      </c>
      <c r="C228" s="2">
        <v>78.099999999999994</v>
      </c>
      <c r="D228" s="2">
        <v>22.4</v>
      </c>
      <c r="E228" s="2">
        <v>6</v>
      </c>
      <c r="F228" s="2">
        <v>2</v>
      </c>
      <c r="G228" s="2">
        <v>39</v>
      </c>
    </row>
    <row r="229" spans="1:7" x14ac:dyDescent="0.3">
      <c r="A229" s="2" t="s">
        <v>237</v>
      </c>
      <c r="B229" s="2" t="s">
        <v>193</v>
      </c>
      <c r="C229" s="2">
        <v>83.6</v>
      </c>
      <c r="D229" s="2">
        <v>17.5</v>
      </c>
      <c r="E229" s="2">
        <v>3</v>
      </c>
      <c r="F229" s="2">
        <v>1</v>
      </c>
      <c r="G229" s="2">
        <v>115</v>
      </c>
    </row>
    <row r="230" spans="1:7" x14ac:dyDescent="0.3">
      <c r="A230" s="2" t="s">
        <v>238</v>
      </c>
      <c r="B230" s="2" t="s">
        <v>193</v>
      </c>
      <c r="C230" s="2">
        <v>78.5</v>
      </c>
      <c r="D230" s="2">
        <v>25.5</v>
      </c>
      <c r="E230" s="2">
        <v>7</v>
      </c>
      <c r="F230" s="2">
        <v>3</v>
      </c>
      <c r="G230" s="2">
        <v>90</v>
      </c>
    </row>
    <row r="231" spans="1:7" x14ac:dyDescent="0.3">
      <c r="A231" s="2" t="s">
        <v>239</v>
      </c>
      <c r="B231" s="2" t="s">
        <v>193</v>
      </c>
      <c r="C231" s="2">
        <v>76.599999999999994</v>
      </c>
      <c r="D231" s="2">
        <v>16.8</v>
      </c>
      <c r="E231" s="2">
        <v>4</v>
      </c>
      <c r="F231" s="2">
        <v>3</v>
      </c>
      <c r="G231" s="2">
        <v>71</v>
      </c>
    </row>
    <row r="232" spans="1:7" x14ac:dyDescent="0.3">
      <c r="A232" s="2" t="s">
        <v>240</v>
      </c>
      <c r="B232" s="2" t="s">
        <v>193</v>
      </c>
      <c r="C232" s="2">
        <v>76.900000000000006</v>
      </c>
      <c r="D232" s="2">
        <v>13.8</v>
      </c>
      <c r="E232" s="2">
        <v>5</v>
      </c>
      <c r="F232" s="2">
        <v>2</v>
      </c>
      <c r="G232" s="2">
        <v>103</v>
      </c>
    </row>
    <row r="233" spans="1:7" x14ac:dyDescent="0.3">
      <c r="A233" s="2" t="s">
        <v>241</v>
      </c>
      <c r="B233" s="2" t="s">
        <v>193</v>
      </c>
      <c r="C233" s="2">
        <v>74.400000000000006</v>
      </c>
      <c r="D233" s="2">
        <v>13.7</v>
      </c>
      <c r="E233" s="2">
        <v>8</v>
      </c>
      <c r="F233" s="2">
        <v>0</v>
      </c>
      <c r="G233" s="2">
        <v>14</v>
      </c>
    </row>
    <row r="234" spans="1:7" x14ac:dyDescent="0.3">
      <c r="A234" s="2" t="s">
        <v>242</v>
      </c>
      <c r="B234" s="2" t="s">
        <v>193</v>
      </c>
      <c r="C234" s="2">
        <v>77.599999999999994</v>
      </c>
      <c r="D234" s="2">
        <v>12</v>
      </c>
      <c r="E234" s="2">
        <v>4</v>
      </c>
      <c r="F234" s="2">
        <v>0</v>
      </c>
      <c r="G234" s="2">
        <v>34</v>
      </c>
    </row>
    <row r="235" spans="1:7" x14ac:dyDescent="0.3">
      <c r="A235" s="2" t="s">
        <v>243</v>
      </c>
      <c r="B235" s="2" t="s">
        <v>193</v>
      </c>
      <c r="C235" s="2">
        <v>75.900000000000006</v>
      </c>
      <c r="D235" s="2">
        <v>21.1</v>
      </c>
      <c r="E235" s="2">
        <v>4</v>
      </c>
      <c r="F235" s="2">
        <v>3</v>
      </c>
      <c r="G235" s="2">
        <v>112</v>
      </c>
    </row>
    <row r="236" spans="1:7" x14ac:dyDescent="0.3">
      <c r="A236" s="2" t="s">
        <v>244</v>
      </c>
      <c r="B236" s="2" t="s">
        <v>193</v>
      </c>
      <c r="C236" s="2">
        <v>79.599999999999994</v>
      </c>
      <c r="D236" s="2">
        <v>31.9</v>
      </c>
      <c r="E236" s="2">
        <v>1</v>
      </c>
      <c r="F236" s="2">
        <v>0</v>
      </c>
      <c r="G236" s="2">
        <v>53</v>
      </c>
    </row>
    <row r="237" spans="1:7" x14ac:dyDescent="0.3">
      <c r="A237" s="2" t="s">
        <v>245</v>
      </c>
      <c r="B237" s="2" t="s">
        <v>193</v>
      </c>
      <c r="C237" s="2">
        <v>73.400000000000006</v>
      </c>
      <c r="D237" s="2">
        <v>23.6</v>
      </c>
      <c r="E237" s="2">
        <v>5</v>
      </c>
      <c r="F237" s="2">
        <v>1</v>
      </c>
      <c r="G237" s="2">
        <v>42</v>
      </c>
    </row>
    <row r="238" spans="1:7" x14ac:dyDescent="0.3">
      <c r="A238" s="2" t="s">
        <v>246</v>
      </c>
      <c r="B238" s="2" t="s">
        <v>193</v>
      </c>
      <c r="C238" s="2">
        <v>78.7</v>
      </c>
      <c r="D238" s="2">
        <v>10.7</v>
      </c>
      <c r="E238" s="2">
        <v>3</v>
      </c>
      <c r="F238" s="2">
        <v>0</v>
      </c>
      <c r="G238" s="2">
        <v>65</v>
      </c>
    </row>
    <row r="239" spans="1:7" x14ac:dyDescent="0.3">
      <c r="A239" s="2" t="s">
        <v>247</v>
      </c>
      <c r="B239" s="2" t="s">
        <v>193</v>
      </c>
      <c r="C239" s="2">
        <v>75.8</v>
      </c>
      <c r="D239" s="2">
        <v>14.9</v>
      </c>
      <c r="E239" s="2">
        <v>6</v>
      </c>
      <c r="F239" s="2">
        <v>3</v>
      </c>
      <c r="G239" s="2">
        <v>41</v>
      </c>
    </row>
    <row r="240" spans="1:7" x14ac:dyDescent="0.3">
      <c r="A240" s="2" t="s">
        <v>248</v>
      </c>
      <c r="B240" s="2" t="s">
        <v>193</v>
      </c>
      <c r="C240" s="2">
        <v>72.7</v>
      </c>
      <c r="D240" s="2">
        <v>28.5</v>
      </c>
      <c r="E240" s="2">
        <v>3</v>
      </c>
      <c r="F240" s="2">
        <v>1</v>
      </c>
      <c r="G240" s="2">
        <v>21</v>
      </c>
    </row>
    <row r="241" spans="1:7" x14ac:dyDescent="0.3">
      <c r="A241" s="2" t="s">
        <v>249</v>
      </c>
      <c r="B241" s="2" t="s">
        <v>193</v>
      </c>
      <c r="C241" s="2">
        <v>75.099999999999994</v>
      </c>
      <c r="D241" s="2">
        <v>16.3</v>
      </c>
      <c r="E241" s="2">
        <v>3</v>
      </c>
      <c r="F241" s="2">
        <v>1</v>
      </c>
      <c r="G241" s="2">
        <v>83</v>
      </c>
    </row>
    <row r="242" spans="1:7" x14ac:dyDescent="0.3">
      <c r="A242" s="2" t="s">
        <v>250</v>
      </c>
      <c r="B242" s="2" t="s">
        <v>193</v>
      </c>
      <c r="C242" s="2">
        <v>70.3</v>
      </c>
      <c r="D242" s="2">
        <v>11.3</v>
      </c>
      <c r="E242" s="2">
        <v>6</v>
      </c>
      <c r="F242" s="2">
        <v>4</v>
      </c>
      <c r="G242" s="2">
        <v>25</v>
      </c>
    </row>
    <row r="243" spans="1:7" x14ac:dyDescent="0.3">
      <c r="A243" s="2" t="s">
        <v>251</v>
      </c>
      <c r="B243" s="2" t="s">
        <v>193</v>
      </c>
      <c r="C243" s="2">
        <v>77</v>
      </c>
      <c r="D243" s="2">
        <v>34</v>
      </c>
      <c r="E243" s="2">
        <v>5</v>
      </c>
      <c r="F243" s="2">
        <v>1</v>
      </c>
      <c r="G243" s="2">
        <v>46</v>
      </c>
    </row>
    <row r="244" spans="1:7" x14ac:dyDescent="0.3">
      <c r="A244" s="2" t="s">
        <v>252</v>
      </c>
      <c r="B244" s="2" t="s">
        <v>193</v>
      </c>
      <c r="C244" s="2">
        <v>73.8</v>
      </c>
      <c r="D244" s="2">
        <v>20.6</v>
      </c>
      <c r="E244" s="2">
        <v>7</v>
      </c>
      <c r="F244" s="2">
        <v>0</v>
      </c>
      <c r="G244" s="2">
        <v>87</v>
      </c>
    </row>
    <row r="245" spans="1:7" x14ac:dyDescent="0.3">
      <c r="A245" s="2" t="s">
        <v>253</v>
      </c>
      <c r="B245" s="2" t="s">
        <v>193</v>
      </c>
      <c r="C245" s="2">
        <v>78.599999999999994</v>
      </c>
      <c r="D245" s="2">
        <v>13.1</v>
      </c>
      <c r="E245" s="2">
        <v>3</v>
      </c>
      <c r="F245" s="2">
        <v>0</v>
      </c>
      <c r="G245" s="2">
        <v>90</v>
      </c>
    </row>
    <row r="246" spans="1:7" x14ac:dyDescent="0.3">
      <c r="A246" s="2" t="s">
        <v>254</v>
      </c>
      <c r="B246" s="2" t="s">
        <v>193</v>
      </c>
      <c r="C246" s="2">
        <v>73</v>
      </c>
      <c r="D246" s="2">
        <v>14.9</v>
      </c>
      <c r="E246" s="2">
        <v>9</v>
      </c>
      <c r="F246" s="2">
        <v>2</v>
      </c>
      <c r="G246" s="2">
        <v>88</v>
      </c>
    </row>
    <row r="247" spans="1:7" x14ac:dyDescent="0.3">
      <c r="A247" s="2" t="s">
        <v>255</v>
      </c>
      <c r="B247" s="2" t="s">
        <v>256</v>
      </c>
      <c r="C247" s="2">
        <v>62.6</v>
      </c>
      <c r="D247" s="2">
        <v>18.3</v>
      </c>
      <c r="E247" s="2">
        <v>8</v>
      </c>
      <c r="F247" s="2">
        <v>2</v>
      </c>
      <c r="G247" s="2">
        <v>14</v>
      </c>
    </row>
    <row r="248" spans="1:7" x14ac:dyDescent="0.3">
      <c r="A248" s="2" t="s">
        <v>257</v>
      </c>
      <c r="B248" s="2" t="s">
        <v>256</v>
      </c>
      <c r="C248" s="2">
        <v>78.3</v>
      </c>
      <c r="D248" s="2">
        <v>14.6</v>
      </c>
      <c r="E248" s="2">
        <v>6</v>
      </c>
      <c r="F248" s="2">
        <v>1</v>
      </c>
      <c r="G248" s="2">
        <v>28</v>
      </c>
    </row>
    <row r="249" spans="1:7" x14ac:dyDescent="0.3">
      <c r="A249" s="2" t="s">
        <v>258</v>
      </c>
      <c r="B249" s="2" t="s">
        <v>256</v>
      </c>
      <c r="C249" s="2">
        <v>82.9</v>
      </c>
      <c r="D249" s="2">
        <v>12.8</v>
      </c>
      <c r="E249" s="2">
        <v>8</v>
      </c>
      <c r="F249" s="2">
        <v>0</v>
      </c>
      <c r="G249" s="2">
        <v>35</v>
      </c>
    </row>
    <row r="250" spans="1:7" x14ac:dyDescent="0.3">
      <c r="A250" s="2" t="s">
        <v>259</v>
      </c>
      <c r="B250" s="2" t="s">
        <v>256</v>
      </c>
      <c r="C250" s="2">
        <v>71.8</v>
      </c>
      <c r="D250" s="2">
        <v>12.4</v>
      </c>
      <c r="E250" s="2">
        <v>5</v>
      </c>
      <c r="F250" s="2">
        <v>0</v>
      </c>
      <c r="G250" s="2">
        <v>67</v>
      </c>
    </row>
    <row r="251" spans="1:7" x14ac:dyDescent="0.3">
      <c r="A251" s="2" t="s">
        <v>260</v>
      </c>
      <c r="B251" s="2" t="s">
        <v>256</v>
      </c>
      <c r="C251" s="2">
        <v>61</v>
      </c>
      <c r="D251" s="2">
        <v>15</v>
      </c>
      <c r="E251" s="2">
        <v>7</v>
      </c>
      <c r="F251" s="2">
        <v>3</v>
      </c>
      <c r="G251" s="2">
        <v>17</v>
      </c>
    </row>
    <row r="252" spans="1:7" x14ac:dyDescent="0.3">
      <c r="A252" s="2" t="s">
        <v>261</v>
      </c>
      <c r="B252" s="2" t="s">
        <v>256</v>
      </c>
      <c r="C252" s="2">
        <v>73.900000000000006</v>
      </c>
      <c r="D252" s="2">
        <v>14.2</v>
      </c>
      <c r="E252" s="2">
        <v>6</v>
      </c>
      <c r="F252" s="2">
        <v>2</v>
      </c>
      <c r="G252" s="2">
        <v>40</v>
      </c>
    </row>
    <row r="253" spans="1:7" x14ac:dyDescent="0.3">
      <c r="A253" s="2" t="s">
        <v>262</v>
      </c>
      <c r="B253" s="2" t="s">
        <v>256</v>
      </c>
      <c r="C253" s="2">
        <v>83.3</v>
      </c>
      <c r="D253" s="2">
        <v>7.2</v>
      </c>
      <c r="E253" s="2">
        <v>4</v>
      </c>
      <c r="F253" s="2">
        <v>1</v>
      </c>
      <c r="G253" s="2">
        <v>30</v>
      </c>
    </row>
    <row r="254" spans="1:7" x14ac:dyDescent="0.3">
      <c r="A254" s="2" t="s">
        <v>263</v>
      </c>
      <c r="B254" s="2" t="s">
        <v>256</v>
      </c>
      <c r="C254" s="2">
        <v>42.4</v>
      </c>
      <c r="D254" s="2">
        <v>16.899999999999999</v>
      </c>
      <c r="E254" s="2">
        <v>5</v>
      </c>
      <c r="F254" s="2">
        <v>2</v>
      </c>
      <c r="G254" s="2">
        <v>58</v>
      </c>
    </row>
    <row r="255" spans="1:7" x14ac:dyDescent="0.3">
      <c r="A255" s="2" t="s">
        <v>264</v>
      </c>
      <c r="B255" s="2" t="s">
        <v>256</v>
      </c>
      <c r="C255" s="2">
        <v>59.4</v>
      </c>
      <c r="D255" s="2">
        <v>7.4</v>
      </c>
      <c r="E255" s="2">
        <v>7</v>
      </c>
      <c r="F255" s="2">
        <v>1</v>
      </c>
      <c r="G255" s="2">
        <v>19</v>
      </c>
    </row>
    <row r="256" spans="1:7" x14ac:dyDescent="0.3">
      <c r="A256" s="2" t="s">
        <v>265</v>
      </c>
      <c r="B256" s="2" t="s">
        <v>256</v>
      </c>
      <c r="C256" s="2">
        <v>59.6</v>
      </c>
      <c r="D256" s="2">
        <v>25</v>
      </c>
      <c r="E256" s="2">
        <v>4</v>
      </c>
      <c r="F256" s="2">
        <v>1</v>
      </c>
      <c r="G256" s="2">
        <v>108</v>
      </c>
    </row>
    <row r="257" spans="1:7" x14ac:dyDescent="0.3">
      <c r="A257" s="2" t="s">
        <v>266</v>
      </c>
      <c r="B257" s="2" t="s">
        <v>256</v>
      </c>
      <c r="C257" s="2">
        <v>71.2</v>
      </c>
      <c r="D257" s="2">
        <v>12</v>
      </c>
      <c r="E257" s="2">
        <v>6</v>
      </c>
      <c r="F257" s="2">
        <v>0</v>
      </c>
      <c r="G257" s="2">
        <v>56</v>
      </c>
    </row>
    <row r="258" spans="1:7" x14ac:dyDescent="0.3">
      <c r="A258" s="2" t="s">
        <v>267</v>
      </c>
      <c r="B258" s="2" t="s">
        <v>256</v>
      </c>
      <c r="C258" s="2">
        <v>71.900000000000006</v>
      </c>
      <c r="D258" s="2">
        <v>20.9</v>
      </c>
      <c r="E258" s="2">
        <v>8</v>
      </c>
      <c r="F258" s="2">
        <v>3</v>
      </c>
      <c r="G258" s="2">
        <v>132</v>
      </c>
    </row>
    <row r="259" spans="1:7" x14ac:dyDescent="0.3">
      <c r="A259" s="2" t="s">
        <v>268</v>
      </c>
      <c r="B259" s="2" t="s">
        <v>256</v>
      </c>
      <c r="C259" s="2">
        <v>75.3</v>
      </c>
      <c r="D259" s="2">
        <v>20.2</v>
      </c>
      <c r="E259" s="2">
        <v>5</v>
      </c>
      <c r="F259" s="2">
        <v>0</v>
      </c>
      <c r="G259" s="2">
        <v>18</v>
      </c>
    </row>
    <row r="260" spans="1:7" x14ac:dyDescent="0.3">
      <c r="A260" s="2" t="s">
        <v>269</v>
      </c>
      <c r="B260" s="2" t="s">
        <v>256</v>
      </c>
      <c r="C260" s="2">
        <v>72.8</v>
      </c>
      <c r="D260" s="2">
        <v>12.8</v>
      </c>
      <c r="E260" s="2">
        <v>8</v>
      </c>
      <c r="F260" s="2">
        <v>1</v>
      </c>
      <c r="G260" s="2">
        <v>89</v>
      </c>
    </row>
    <row r="261" spans="1:7" x14ac:dyDescent="0.3">
      <c r="A261" s="2" t="s">
        <v>270</v>
      </c>
      <c r="B261" s="2" t="s">
        <v>256</v>
      </c>
      <c r="C261" s="2">
        <v>63.3</v>
      </c>
      <c r="D261" s="2">
        <v>7.8</v>
      </c>
      <c r="E261" s="2">
        <v>3</v>
      </c>
      <c r="F261" s="2">
        <v>0</v>
      </c>
      <c r="G261" s="2">
        <v>75</v>
      </c>
    </row>
    <row r="262" spans="1:7" x14ac:dyDescent="0.3">
      <c r="A262" s="2" t="s">
        <v>271</v>
      </c>
      <c r="B262" s="2" t="s">
        <v>256</v>
      </c>
      <c r="C262" s="2">
        <v>75.900000000000006</v>
      </c>
      <c r="D262" s="2">
        <v>22.6</v>
      </c>
      <c r="E262" s="2">
        <v>7</v>
      </c>
      <c r="F262" s="2">
        <v>2</v>
      </c>
      <c r="G262" s="2">
        <v>88</v>
      </c>
    </row>
    <row r="263" spans="1:7" x14ac:dyDescent="0.3">
      <c r="A263" s="2" t="s">
        <v>272</v>
      </c>
      <c r="B263" s="2" t="s">
        <v>256</v>
      </c>
      <c r="C263" s="2">
        <v>74.900000000000006</v>
      </c>
      <c r="D263" s="2">
        <v>18.100000000000001</v>
      </c>
      <c r="E263" s="2">
        <v>7</v>
      </c>
      <c r="F263" s="2">
        <v>2</v>
      </c>
      <c r="G263" s="2">
        <v>65</v>
      </c>
    </row>
    <row r="264" spans="1:7" x14ac:dyDescent="0.3">
      <c r="A264" s="2" t="s">
        <v>273</v>
      </c>
      <c r="B264" s="2" t="s">
        <v>256</v>
      </c>
      <c r="C264" s="2">
        <v>98</v>
      </c>
      <c r="D264" s="2">
        <v>9.4</v>
      </c>
      <c r="E264" s="2">
        <v>4</v>
      </c>
      <c r="F264" s="2">
        <v>1</v>
      </c>
      <c r="G264" s="2">
        <v>116</v>
      </c>
    </row>
    <row r="265" spans="1:7" x14ac:dyDescent="0.3">
      <c r="A265" s="2" t="s">
        <v>274</v>
      </c>
      <c r="B265" s="2" t="s">
        <v>256</v>
      </c>
      <c r="C265" s="2">
        <v>65.400000000000006</v>
      </c>
      <c r="D265" s="2">
        <v>9.1999999999999993</v>
      </c>
      <c r="E265" s="2">
        <v>8</v>
      </c>
      <c r="F265" s="2">
        <v>2</v>
      </c>
      <c r="G265" s="2">
        <v>59</v>
      </c>
    </row>
    <row r="266" spans="1:7" x14ac:dyDescent="0.3">
      <c r="A266" s="2" t="s">
        <v>275</v>
      </c>
      <c r="B266" s="2" t="s">
        <v>256</v>
      </c>
      <c r="C266" s="2">
        <v>88.6</v>
      </c>
      <c r="D266" s="2">
        <v>11.2</v>
      </c>
      <c r="E266" s="2">
        <v>5</v>
      </c>
      <c r="F266" s="2">
        <v>0</v>
      </c>
      <c r="G266" s="2">
        <v>29</v>
      </c>
    </row>
    <row r="267" spans="1:7" x14ac:dyDescent="0.3">
      <c r="A267" s="2" t="s">
        <v>276</v>
      </c>
      <c r="B267" s="2" t="s">
        <v>256</v>
      </c>
      <c r="C267" s="2">
        <v>53.4</v>
      </c>
      <c r="D267" s="2">
        <v>11.3</v>
      </c>
      <c r="E267" s="2">
        <v>2</v>
      </c>
      <c r="F267" s="2">
        <v>1</v>
      </c>
      <c r="G267" s="2">
        <v>49</v>
      </c>
    </row>
    <row r="268" spans="1:7" x14ac:dyDescent="0.3">
      <c r="A268" s="2" t="s">
        <v>277</v>
      </c>
      <c r="B268" s="2" t="s">
        <v>256</v>
      </c>
      <c r="C268" s="2">
        <v>70.099999999999994</v>
      </c>
      <c r="D268" s="2">
        <v>9.9</v>
      </c>
      <c r="E268" s="2">
        <v>5</v>
      </c>
      <c r="F268" s="2">
        <v>1</v>
      </c>
      <c r="G268" s="2">
        <v>56</v>
      </c>
    </row>
    <row r="269" spans="1:7" x14ac:dyDescent="0.3">
      <c r="A269" s="2" t="s">
        <v>278</v>
      </c>
      <c r="B269" s="2" t="s">
        <v>256</v>
      </c>
      <c r="C269" s="2">
        <v>58.7</v>
      </c>
      <c r="D269" s="2">
        <v>7.7</v>
      </c>
      <c r="E269" s="2">
        <v>8</v>
      </c>
      <c r="F269" s="2">
        <v>1</v>
      </c>
      <c r="G269" s="2">
        <v>58</v>
      </c>
    </row>
    <row r="270" spans="1:7" x14ac:dyDescent="0.3">
      <c r="A270" s="2" t="s">
        <v>279</v>
      </c>
      <c r="B270" s="2" t="s">
        <v>256</v>
      </c>
      <c r="C270" s="2">
        <v>78.7</v>
      </c>
      <c r="D270" s="2">
        <v>20.399999999999999</v>
      </c>
      <c r="E270" s="2">
        <v>10</v>
      </c>
      <c r="F270" s="2">
        <v>5</v>
      </c>
      <c r="G270" s="2">
        <v>42</v>
      </c>
    </row>
    <row r="271" spans="1:7" x14ac:dyDescent="0.3">
      <c r="A271" s="2" t="s">
        <v>280</v>
      </c>
      <c r="B271" s="2" t="s">
        <v>256</v>
      </c>
      <c r="C271" s="2">
        <v>75.400000000000006</v>
      </c>
      <c r="D271" s="2">
        <v>13.9</v>
      </c>
      <c r="E271" s="2">
        <v>6</v>
      </c>
      <c r="F271" s="2">
        <v>1</v>
      </c>
      <c r="G271" s="2">
        <v>156</v>
      </c>
    </row>
    <row r="272" spans="1:7" x14ac:dyDescent="0.3">
      <c r="A272" s="2" t="s">
        <v>281</v>
      </c>
      <c r="B272" s="2" t="s">
        <v>256</v>
      </c>
      <c r="C272" s="2">
        <v>81.3</v>
      </c>
      <c r="D272" s="2">
        <v>6</v>
      </c>
      <c r="E272" s="2">
        <v>8</v>
      </c>
      <c r="F272" s="2">
        <v>3</v>
      </c>
      <c r="G272" s="2">
        <v>22</v>
      </c>
    </row>
    <row r="273" spans="1:7" x14ac:dyDescent="0.3">
      <c r="A273" s="2" t="s">
        <v>282</v>
      </c>
      <c r="B273" s="2" t="s">
        <v>256</v>
      </c>
      <c r="C273" s="2">
        <v>70.3</v>
      </c>
      <c r="D273" s="2">
        <v>11.8</v>
      </c>
      <c r="E273" s="2">
        <v>9</v>
      </c>
      <c r="F273" s="2">
        <v>1</v>
      </c>
      <c r="G273" s="2">
        <v>15</v>
      </c>
    </row>
    <row r="274" spans="1:7" x14ac:dyDescent="0.3">
      <c r="A274" s="2" t="s">
        <v>283</v>
      </c>
      <c r="B274" s="2" t="s">
        <v>256</v>
      </c>
      <c r="C274" s="2">
        <v>72.5</v>
      </c>
      <c r="D274" s="2">
        <v>12.3</v>
      </c>
      <c r="E274" s="2">
        <v>6</v>
      </c>
      <c r="F274" s="2">
        <v>0</v>
      </c>
      <c r="G274" s="2">
        <v>75</v>
      </c>
    </row>
    <row r="275" spans="1:7" x14ac:dyDescent="0.3">
      <c r="A275" s="2" t="s">
        <v>284</v>
      </c>
      <c r="B275" s="2" t="s">
        <v>256</v>
      </c>
      <c r="C275" s="2">
        <v>64.400000000000006</v>
      </c>
      <c r="D275" s="2">
        <v>9.8000000000000007</v>
      </c>
      <c r="E275" s="2">
        <v>9</v>
      </c>
      <c r="F275" s="2">
        <v>0</v>
      </c>
      <c r="G275" s="2">
        <v>60</v>
      </c>
    </row>
    <row r="276" spans="1:7" x14ac:dyDescent="0.3">
      <c r="A276" s="2" t="s">
        <v>285</v>
      </c>
      <c r="B276" s="2" t="s">
        <v>256</v>
      </c>
      <c r="C276" s="2">
        <v>63.8</v>
      </c>
      <c r="D276" s="2">
        <v>12.4</v>
      </c>
      <c r="E276" s="2">
        <v>3</v>
      </c>
      <c r="F276" s="2">
        <v>1</v>
      </c>
      <c r="G276" s="2">
        <v>100</v>
      </c>
    </row>
    <row r="277" spans="1:7" x14ac:dyDescent="0.3">
      <c r="A277" s="2" t="s">
        <v>286</v>
      </c>
      <c r="B277" s="2" t="s">
        <v>256</v>
      </c>
      <c r="C277" s="2">
        <v>89.2</v>
      </c>
      <c r="D277" s="2">
        <v>15.5</v>
      </c>
      <c r="E277" s="2">
        <v>3</v>
      </c>
      <c r="F277" s="2">
        <v>1</v>
      </c>
      <c r="G277" s="2">
        <v>3</v>
      </c>
    </row>
    <row r="278" spans="1:7" x14ac:dyDescent="0.3">
      <c r="A278" s="2" t="s">
        <v>287</v>
      </c>
      <c r="B278" s="2" t="s">
        <v>256</v>
      </c>
      <c r="C278" s="2">
        <v>73.5</v>
      </c>
      <c r="D278" s="2">
        <v>12.5</v>
      </c>
      <c r="E278" s="2">
        <v>7</v>
      </c>
      <c r="F278" s="2">
        <v>2</v>
      </c>
      <c r="G278" s="2">
        <v>15</v>
      </c>
    </row>
    <row r="279" spans="1:7" x14ac:dyDescent="0.3">
      <c r="A279" s="2" t="s">
        <v>288</v>
      </c>
      <c r="B279" s="2" t="s">
        <v>256</v>
      </c>
      <c r="C279" s="2">
        <v>65.599999999999994</v>
      </c>
      <c r="D279" s="2">
        <v>11.3</v>
      </c>
      <c r="E279" s="2">
        <v>8</v>
      </c>
      <c r="F279" s="2">
        <v>0</v>
      </c>
      <c r="G279" s="2">
        <v>30</v>
      </c>
    </row>
    <row r="280" spans="1:7" x14ac:dyDescent="0.3">
      <c r="A280" s="2" t="s">
        <v>289</v>
      </c>
      <c r="B280" s="2" t="s">
        <v>256</v>
      </c>
      <c r="C280" s="2">
        <v>62.9</v>
      </c>
      <c r="D280" s="2">
        <v>9.5</v>
      </c>
      <c r="E280" s="2">
        <v>3</v>
      </c>
      <c r="F280" s="2">
        <v>1</v>
      </c>
      <c r="G280" s="2">
        <v>14</v>
      </c>
    </row>
    <row r="281" spans="1:7" x14ac:dyDescent="0.3">
      <c r="A281" s="2" t="s">
        <v>290</v>
      </c>
      <c r="B281" s="2" t="s">
        <v>256</v>
      </c>
      <c r="C281" s="2">
        <v>71.599999999999994</v>
      </c>
      <c r="D281" s="2">
        <v>9.4</v>
      </c>
      <c r="E281" s="2">
        <v>3</v>
      </c>
      <c r="F281" s="2">
        <v>1</v>
      </c>
      <c r="G281" s="2">
        <v>84</v>
      </c>
    </row>
    <row r="282" spans="1:7" x14ac:dyDescent="0.3">
      <c r="A282" s="2" t="s">
        <v>291</v>
      </c>
      <c r="B282" s="2" t="s">
        <v>256</v>
      </c>
      <c r="C282" s="2">
        <v>48.5</v>
      </c>
      <c r="D282" s="2">
        <v>15.1</v>
      </c>
      <c r="E282" s="2">
        <v>2</v>
      </c>
      <c r="F282" s="2">
        <v>0</v>
      </c>
      <c r="G282" s="2">
        <v>33</v>
      </c>
    </row>
    <row r="283" spans="1:7" x14ac:dyDescent="0.3">
      <c r="A283" s="2" t="s">
        <v>292</v>
      </c>
      <c r="B283" s="2" t="s">
        <v>256</v>
      </c>
      <c r="C283" s="2">
        <v>61.6</v>
      </c>
      <c r="D283" s="2">
        <v>11.9</v>
      </c>
      <c r="E283" s="2">
        <v>5</v>
      </c>
      <c r="F283" s="2">
        <v>0</v>
      </c>
      <c r="G283" s="2">
        <v>47</v>
      </c>
    </row>
    <row r="284" spans="1:7" x14ac:dyDescent="0.3">
      <c r="A284" s="2" t="s">
        <v>293</v>
      </c>
      <c r="B284" s="2" t="s">
        <v>256</v>
      </c>
      <c r="C284" s="2">
        <v>81.2</v>
      </c>
      <c r="D284" s="2">
        <v>7.7</v>
      </c>
      <c r="E284" s="2">
        <v>9</v>
      </c>
      <c r="F284" s="2">
        <v>1</v>
      </c>
      <c r="G284" s="2">
        <v>15</v>
      </c>
    </row>
    <row r="285" spans="1:7" x14ac:dyDescent="0.3">
      <c r="A285" s="2" t="s">
        <v>294</v>
      </c>
      <c r="B285" s="2" t="s">
        <v>256</v>
      </c>
      <c r="C285" s="2">
        <v>67.5</v>
      </c>
      <c r="D285" s="2">
        <v>10.5</v>
      </c>
      <c r="E285" s="2">
        <v>7</v>
      </c>
      <c r="F285" s="2">
        <v>0</v>
      </c>
      <c r="G285" s="2">
        <v>42</v>
      </c>
    </row>
    <row r="286" spans="1:7" x14ac:dyDescent="0.3">
      <c r="A286" s="2" t="s">
        <v>295</v>
      </c>
      <c r="B286" s="2" t="s">
        <v>256</v>
      </c>
      <c r="C286" s="2">
        <v>83.1</v>
      </c>
      <c r="D286" s="2">
        <v>12.9</v>
      </c>
      <c r="E286" s="2">
        <v>5</v>
      </c>
      <c r="F286" s="2">
        <v>1</v>
      </c>
      <c r="G286" s="2">
        <v>97</v>
      </c>
    </row>
    <row r="287" spans="1:7" x14ac:dyDescent="0.3">
      <c r="A287" s="2" t="s">
        <v>296</v>
      </c>
      <c r="B287" s="2" t="s">
        <v>256</v>
      </c>
      <c r="C287" s="2">
        <v>67.599999999999994</v>
      </c>
      <c r="D287" s="2">
        <v>22.6</v>
      </c>
      <c r="E287" s="2">
        <v>8</v>
      </c>
      <c r="F287" s="2">
        <v>1</v>
      </c>
      <c r="G287" s="2">
        <v>71</v>
      </c>
    </row>
    <row r="288" spans="1:7" x14ac:dyDescent="0.3">
      <c r="A288" s="2" t="s">
        <v>297</v>
      </c>
      <c r="B288" s="2" t="s">
        <v>256</v>
      </c>
      <c r="C288" s="2">
        <v>73.599999999999994</v>
      </c>
      <c r="D288" s="2">
        <v>16.399999999999999</v>
      </c>
      <c r="E288" s="2">
        <v>4</v>
      </c>
      <c r="F288" s="2">
        <v>0</v>
      </c>
      <c r="G288" s="2">
        <v>8</v>
      </c>
    </row>
    <row r="289" spans="1:7" x14ac:dyDescent="0.3">
      <c r="A289" s="2" t="s">
        <v>298</v>
      </c>
      <c r="B289" s="2" t="s">
        <v>256</v>
      </c>
      <c r="C289" s="2">
        <v>76.900000000000006</v>
      </c>
      <c r="D289" s="2">
        <v>12.9</v>
      </c>
      <c r="E289" s="2">
        <v>9</v>
      </c>
      <c r="F289" s="2">
        <v>1</v>
      </c>
      <c r="G289" s="2">
        <v>15</v>
      </c>
    </row>
    <row r="290" spans="1:7" x14ac:dyDescent="0.3">
      <c r="A290" s="2" t="s">
        <v>299</v>
      </c>
      <c r="B290" s="2" t="s">
        <v>256</v>
      </c>
      <c r="C290" s="2">
        <v>46.8</v>
      </c>
      <c r="D290" s="2">
        <v>8.8000000000000007</v>
      </c>
      <c r="E290" s="2">
        <v>6</v>
      </c>
      <c r="F290" s="2">
        <v>0</v>
      </c>
      <c r="G290" s="2">
        <v>69</v>
      </c>
    </row>
    <row r="291" spans="1:7" x14ac:dyDescent="0.3">
      <c r="A291" s="2" t="s">
        <v>300</v>
      </c>
      <c r="B291" s="2" t="s">
        <v>256</v>
      </c>
      <c r="C291" s="2">
        <v>64.2</v>
      </c>
      <c r="D291" s="2">
        <v>12.1</v>
      </c>
      <c r="E291" s="2">
        <v>4</v>
      </c>
      <c r="F291" s="2">
        <v>0</v>
      </c>
      <c r="G291" s="2">
        <v>44</v>
      </c>
    </row>
    <row r="292" spans="1:7" x14ac:dyDescent="0.3">
      <c r="A292" s="2" t="s">
        <v>301</v>
      </c>
      <c r="B292" s="2" t="s">
        <v>256</v>
      </c>
      <c r="C292" s="2">
        <v>84.6</v>
      </c>
      <c r="D292" s="2">
        <v>20.9</v>
      </c>
      <c r="E292" s="2">
        <v>3</v>
      </c>
      <c r="F292" s="2">
        <v>2</v>
      </c>
      <c r="G292" s="2">
        <v>47</v>
      </c>
    </row>
    <row r="293" spans="1:7" x14ac:dyDescent="0.3">
      <c r="A293" s="2" t="s">
        <v>302</v>
      </c>
      <c r="B293" s="2" t="s">
        <v>256</v>
      </c>
      <c r="C293" s="2">
        <v>79.8</v>
      </c>
      <c r="D293" s="2">
        <v>12.7</v>
      </c>
      <c r="E293" s="2">
        <v>2</v>
      </c>
      <c r="F293" s="2">
        <v>1</v>
      </c>
      <c r="G293" s="2">
        <v>58</v>
      </c>
    </row>
    <row r="294" spans="1:7" x14ac:dyDescent="0.3">
      <c r="A294" s="2" t="s">
        <v>303</v>
      </c>
      <c r="B294" s="2" t="s">
        <v>256</v>
      </c>
      <c r="C294" s="2">
        <v>75.099999999999994</v>
      </c>
      <c r="D294" s="2">
        <v>10</v>
      </c>
      <c r="E294" s="2">
        <v>5</v>
      </c>
      <c r="F294" s="2">
        <v>2</v>
      </c>
      <c r="G294" s="2">
        <v>50</v>
      </c>
    </row>
    <row r="295" spans="1:7" x14ac:dyDescent="0.3">
      <c r="A295" s="2" t="s">
        <v>304</v>
      </c>
      <c r="B295" s="2" t="s">
        <v>256</v>
      </c>
      <c r="C295" s="2">
        <v>97.4</v>
      </c>
      <c r="D295" s="2">
        <v>15</v>
      </c>
      <c r="E295" s="2">
        <v>6</v>
      </c>
      <c r="F295" s="2">
        <v>0</v>
      </c>
      <c r="G295" s="2">
        <v>13</v>
      </c>
    </row>
    <row r="296" spans="1:7" x14ac:dyDescent="0.3">
      <c r="A296" s="2" t="s">
        <v>305</v>
      </c>
      <c r="B296" s="2" t="s">
        <v>256</v>
      </c>
      <c r="C296" s="2">
        <v>69.5</v>
      </c>
      <c r="D296" s="2">
        <v>14.1</v>
      </c>
      <c r="E296" s="2">
        <v>8</v>
      </c>
      <c r="F296" s="2">
        <v>0</v>
      </c>
      <c r="G296" s="2">
        <v>56</v>
      </c>
    </row>
    <row r="297" spans="1:7" x14ac:dyDescent="0.3">
      <c r="A297" s="2" t="s">
        <v>306</v>
      </c>
      <c r="B297" s="2" t="s">
        <v>256</v>
      </c>
      <c r="C297" s="2">
        <v>59.8</v>
      </c>
      <c r="D297" s="2">
        <v>10.9</v>
      </c>
      <c r="E297" s="2">
        <v>4</v>
      </c>
      <c r="F297" s="2">
        <v>0</v>
      </c>
      <c r="G297" s="2">
        <v>78</v>
      </c>
    </row>
    <row r="298" spans="1:7" x14ac:dyDescent="0.3">
      <c r="A298" s="2" t="s">
        <v>307</v>
      </c>
      <c r="B298" s="2" t="s">
        <v>256</v>
      </c>
      <c r="C298" s="2">
        <v>77.2</v>
      </c>
      <c r="D298" s="2">
        <v>9.9</v>
      </c>
      <c r="E298" s="2">
        <v>2</v>
      </c>
      <c r="F298" s="2">
        <v>1</v>
      </c>
      <c r="G298" s="2">
        <v>49</v>
      </c>
    </row>
    <row r="299" spans="1:7" x14ac:dyDescent="0.3">
      <c r="A299" s="2" t="s">
        <v>308</v>
      </c>
      <c r="B299" s="2" t="s">
        <v>256</v>
      </c>
      <c r="C299" s="2">
        <v>76.2</v>
      </c>
      <c r="D299" s="2">
        <v>14.7</v>
      </c>
      <c r="E299" s="2">
        <v>5</v>
      </c>
      <c r="F299" s="2">
        <v>0</v>
      </c>
      <c r="G299" s="2">
        <v>73</v>
      </c>
    </row>
    <row r="300" spans="1:7" x14ac:dyDescent="0.3">
      <c r="A300" s="2" t="s">
        <v>309</v>
      </c>
      <c r="B300" s="2" t="s">
        <v>256</v>
      </c>
      <c r="C300" s="2">
        <v>66.099999999999994</v>
      </c>
      <c r="D300" s="2">
        <v>9.4</v>
      </c>
      <c r="E300" s="2">
        <v>4</v>
      </c>
      <c r="F300" s="2">
        <v>2</v>
      </c>
      <c r="G300" s="2">
        <v>201</v>
      </c>
    </row>
    <row r="301" spans="1:7" x14ac:dyDescent="0.3">
      <c r="A301" s="2" t="s">
        <v>310</v>
      </c>
      <c r="B301" s="2" t="s">
        <v>256</v>
      </c>
      <c r="C301" s="2">
        <v>83.7</v>
      </c>
      <c r="D301" s="2">
        <v>7.4</v>
      </c>
      <c r="E301" s="2">
        <v>6</v>
      </c>
      <c r="F301" s="2">
        <v>2</v>
      </c>
      <c r="G301" s="2">
        <v>24</v>
      </c>
    </row>
  </sheetData>
  <autoFilter ref="A1:G3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0" customWidth="1"/>
    <col min="3" max="3" width="16" customWidth="1"/>
  </cols>
  <sheetData>
    <row r="1" spans="1:3" x14ac:dyDescent="0.3">
      <c r="A1" s="3" t="s">
        <v>311</v>
      </c>
      <c r="B1" s="3" t="s">
        <v>312</v>
      </c>
      <c r="C1" s="3" t="s">
        <v>313</v>
      </c>
    </row>
    <row r="2" spans="1:3" x14ac:dyDescent="0.3">
      <c r="A2" s="2" t="s">
        <v>314</v>
      </c>
      <c r="B2" s="2" t="s">
        <v>315</v>
      </c>
      <c r="C2" s="2">
        <v>3</v>
      </c>
    </row>
    <row r="3" spans="1:3" x14ac:dyDescent="0.3">
      <c r="A3" s="2" t="s">
        <v>316</v>
      </c>
      <c r="B3" s="2" t="s">
        <v>315</v>
      </c>
      <c r="C3" s="2">
        <v>3</v>
      </c>
    </row>
    <row r="4" spans="1:3" x14ac:dyDescent="0.3">
      <c r="A4" s="2" t="s">
        <v>317</v>
      </c>
      <c r="B4" s="2" t="s">
        <v>318</v>
      </c>
      <c r="C4" s="2">
        <v>6</v>
      </c>
    </row>
    <row r="5" spans="1:3" x14ac:dyDescent="0.3">
      <c r="A5" s="2" t="s">
        <v>319</v>
      </c>
      <c r="B5" s="2" t="s">
        <v>315</v>
      </c>
      <c r="C5" s="2">
        <v>5</v>
      </c>
    </row>
    <row r="6" spans="1:3" x14ac:dyDescent="0.3">
      <c r="A6" s="2" t="s">
        <v>320</v>
      </c>
      <c r="B6" s="2" t="s">
        <v>318</v>
      </c>
      <c r="C6" s="2">
        <v>7</v>
      </c>
    </row>
    <row r="7" spans="1:3" x14ac:dyDescent="0.3">
      <c r="A7" s="2" t="s">
        <v>321</v>
      </c>
      <c r="B7" s="2" t="s">
        <v>315</v>
      </c>
      <c r="C7" s="2">
        <v>3</v>
      </c>
    </row>
    <row r="8" spans="1:3" x14ac:dyDescent="0.3">
      <c r="A8" s="2" t="s">
        <v>322</v>
      </c>
      <c r="B8" s="2" t="s">
        <v>315</v>
      </c>
      <c r="C8" s="2">
        <v>2</v>
      </c>
    </row>
    <row r="9" spans="1:3" x14ac:dyDescent="0.3">
      <c r="A9" s="2" t="s">
        <v>323</v>
      </c>
      <c r="B9" s="2" t="s">
        <v>315</v>
      </c>
      <c r="C9" s="2">
        <v>2</v>
      </c>
    </row>
    <row r="10" spans="1:3" x14ac:dyDescent="0.3">
      <c r="A10" s="2" t="s">
        <v>324</v>
      </c>
      <c r="B10" s="2" t="s">
        <v>315</v>
      </c>
      <c r="C10" s="2">
        <v>4</v>
      </c>
    </row>
    <row r="11" spans="1:3" x14ac:dyDescent="0.3">
      <c r="A11" s="2" t="s">
        <v>325</v>
      </c>
      <c r="B11" s="2" t="s">
        <v>326</v>
      </c>
      <c r="C11" s="2">
        <v>2</v>
      </c>
    </row>
    <row r="12" spans="1:3" x14ac:dyDescent="0.3">
      <c r="A12" s="2" t="s">
        <v>327</v>
      </c>
      <c r="B12" s="2" t="s">
        <v>326</v>
      </c>
      <c r="C12" s="2">
        <v>8</v>
      </c>
    </row>
    <row r="13" spans="1:3" x14ac:dyDescent="0.3">
      <c r="A13" s="2" t="s">
        <v>328</v>
      </c>
      <c r="B13" s="2" t="s">
        <v>318</v>
      </c>
      <c r="C13" s="2">
        <v>7</v>
      </c>
    </row>
    <row r="14" spans="1:3" x14ac:dyDescent="0.3">
      <c r="A14" s="2" t="s">
        <v>329</v>
      </c>
      <c r="B14" s="2" t="s">
        <v>318</v>
      </c>
      <c r="C14" s="2">
        <v>2</v>
      </c>
    </row>
    <row r="15" spans="1:3" x14ac:dyDescent="0.3">
      <c r="A15" s="2" t="s">
        <v>330</v>
      </c>
      <c r="B15" s="2" t="s">
        <v>318</v>
      </c>
      <c r="C15" s="2">
        <v>2</v>
      </c>
    </row>
    <row r="16" spans="1:3" x14ac:dyDescent="0.3">
      <c r="A16" s="2" t="s">
        <v>331</v>
      </c>
      <c r="B16" s="2" t="s">
        <v>315</v>
      </c>
      <c r="C16" s="2">
        <v>4</v>
      </c>
    </row>
    <row r="17" spans="1:3" x14ac:dyDescent="0.3">
      <c r="A17" s="2" t="s">
        <v>332</v>
      </c>
      <c r="B17" s="2" t="s">
        <v>326</v>
      </c>
      <c r="C17" s="2">
        <v>2</v>
      </c>
    </row>
    <row r="18" spans="1:3" x14ac:dyDescent="0.3">
      <c r="A18" s="2" t="s">
        <v>333</v>
      </c>
      <c r="B18" s="2" t="s">
        <v>326</v>
      </c>
      <c r="C18" s="2">
        <v>4</v>
      </c>
    </row>
    <row r="19" spans="1:3" x14ac:dyDescent="0.3">
      <c r="A19" s="2" t="s">
        <v>334</v>
      </c>
      <c r="B19" s="2" t="s">
        <v>318</v>
      </c>
      <c r="C19" s="2">
        <v>4</v>
      </c>
    </row>
    <row r="20" spans="1:3" x14ac:dyDescent="0.3">
      <c r="A20" s="2" t="s">
        <v>335</v>
      </c>
      <c r="B20" s="2" t="s">
        <v>318</v>
      </c>
      <c r="C20" s="2">
        <v>9</v>
      </c>
    </row>
    <row r="21" spans="1:3" x14ac:dyDescent="0.3">
      <c r="A21" s="2" t="s">
        <v>336</v>
      </c>
      <c r="B21" s="2" t="s">
        <v>326</v>
      </c>
      <c r="C21" s="2">
        <v>4</v>
      </c>
    </row>
    <row r="22" spans="1:3" x14ac:dyDescent="0.3">
      <c r="A22" s="2" t="s">
        <v>337</v>
      </c>
      <c r="B22" s="2" t="s">
        <v>315</v>
      </c>
      <c r="C22" s="2">
        <v>4</v>
      </c>
    </row>
    <row r="23" spans="1:3" x14ac:dyDescent="0.3">
      <c r="A23" s="2" t="s">
        <v>338</v>
      </c>
      <c r="B23" s="2" t="s">
        <v>318</v>
      </c>
      <c r="C23" s="2">
        <v>0</v>
      </c>
    </row>
    <row r="24" spans="1:3" x14ac:dyDescent="0.3">
      <c r="A24" s="2" t="s">
        <v>339</v>
      </c>
      <c r="B24" s="2" t="s">
        <v>315</v>
      </c>
      <c r="C24" s="2">
        <v>6</v>
      </c>
    </row>
    <row r="25" spans="1:3" x14ac:dyDescent="0.3">
      <c r="A25" s="2" t="s">
        <v>340</v>
      </c>
      <c r="B25" s="2" t="s">
        <v>326</v>
      </c>
      <c r="C25" s="2">
        <v>6</v>
      </c>
    </row>
    <row r="26" spans="1:3" x14ac:dyDescent="0.3">
      <c r="A26" s="2" t="s">
        <v>341</v>
      </c>
      <c r="B26" s="2" t="s">
        <v>326</v>
      </c>
      <c r="C26" s="2">
        <v>6</v>
      </c>
    </row>
    <row r="27" spans="1:3" x14ac:dyDescent="0.3">
      <c r="A27" s="2" t="s">
        <v>342</v>
      </c>
      <c r="B27" s="2" t="s">
        <v>326</v>
      </c>
      <c r="C27" s="2">
        <v>3</v>
      </c>
    </row>
    <row r="28" spans="1:3" x14ac:dyDescent="0.3">
      <c r="A28" s="2" t="s">
        <v>343</v>
      </c>
      <c r="B28" s="2" t="s">
        <v>315</v>
      </c>
      <c r="C28" s="2">
        <v>7</v>
      </c>
    </row>
    <row r="29" spans="1:3" x14ac:dyDescent="0.3">
      <c r="A29" s="2" t="s">
        <v>344</v>
      </c>
      <c r="B29" s="2" t="s">
        <v>315</v>
      </c>
      <c r="C29" s="2">
        <v>4</v>
      </c>
    </row>
    <row r="30" spans="1:3" x14ac:dyDescent="0.3">
      <c r="A30" s="2" t="s">
        <v>345</v>
      </c>
      <c r="B30" s="2" t="s">
        <v>318</v>
      </c>
      <c r="C30" s="2">
        <v>2</v>
      </c>
    </row>
    <row r="31" spans="1:3" x14ac:dyDescent="0.3">
      <c r="A31" s="2" t="s">
        <v>346</v>
      </c>
      <c r="B31" s="2" t="s">
        <v>318</v>
      </c>
      <c r="C31" s="2">
        <v>5</v>
      </c>
    </row>
    <row r="32" spans="1:3" x14ac:dyDescent="0.3">
      <c r="A32" s="2" t="s">
        <v>347</v>
      </c>
      <c r="B32" s="2" t="s">
        <v>326</v>
      </c>
      <c r="C32" s="2">
        <v>4</v>
      </c>
    </row>
    <row r="33" spans="1:3" x14ac:dyDescent="0.3">
      <c r="A33" s="2" t="s">
        <v>348</v>
      </c>
      <c r="B33" s="2" t="s">
        <v>318</v>
      </c>
      <c r="C33" s="2">
        <v>4</v>
      </c>
    </row>
    <row r="34" spans="1:3" x14ac:dyDescent="0.3">
      <c r="A34" s="2" t="s">
        <v>349</v>
      </c>
      <c r="B34" s="2" t="s">
        <v>326</v>
      </c>
      <c r="C34" s="2">
        <v>4</v>
      </c>
    </row>
    <row r="35" spans="1:3" x14ac:dyDescent="0.3">
      <c r="A35" s="2" t="s">
        <v>350</v>
      </c>
      <c r="B35" s="2" t="s">
        <v>318</v>
      </c>
      <c r="C35" s="2">
        <v>3</v>
      </c>
    </row>
    <row r="36" spans="1:3" x14ac:dyDescent="0.3">
      <c r="A36" s="2" t="s">
        <v>351</v>
      </c>
      <c r="B36" s="2" t="s">
        <v>326</v>
      </c>
      <c r="C36" s="2">
        <v>6</v>
      </c>
    </row>
    <row r="37" spans="1:3" x14ac:dyDescent="0.3">
      <c r="A37" s="2" t="s">
        <v>352</v>
      </c>
      <c r="B37" s="2" t="s">
        <v>315</v>
      </c>
      <c r="C37" s="2">
        <v>4</v>
      </c>
    </row>
    <row r="38" spans="1:3" x14ac:dyDescent="0.3">
      <c r="A38" s="2" t="s">
        <v>353</v>
      </c>
      <c r="B38" s="2" t="s">
        <v>318</v>
      </c>
      <c r="C38" s="2">
        <v>7</v>
      </c>
    </row>
    <row r="39" spans="1:3" x14ac:dyDescent="0.3">
      <c r="A39" s="2" t="s">
        <v>354</v>
      </c>
      <c r="B39" s="2" t="s">
        <v>315</v>
      </c>
      <c r="C39" s="2">
        <v>4</v>
      </c>
    </row>
    <row r="40" spans="1:3" x14ac:dyDescent="0.3">
      <c r="A40" s="2" t="s">
        <v>355</v>
      </c>
      <c r="B40" s="2" t="s">
        <v>315</v>
      </c>
      <c r="C40" s="2">
        <v>7</v>
      </c>
    </row>
    <row r="41" spans="1:3" x14ac:dyDescent="0.3">
      <c r="A41" s="2" t="s">
        <v>356</v>
      </c>
      <c r="B41" s="2" t="s">
        <v>315</v>
      </c>
      <c r="C41" s="2">
        <v>7</v>
      </c>
    </row>
    <row r="42" spans="1:3" x14ac:dyDescent="0.3">
      <c r="A42" s="2" t="s">
        <v>357</v>
      </c>
      <c r="B42" s="2" t="s">
        <v>315</v>
      </c>
      <c r="C42" s="2">
        <v>4</v>
      </c>
    </row>
    <row r="43" spans="1:3" x14ac:dyDescent="0.3">
      <c r="A43" s="2" t="s">
        <v>358</v>
      </c>
      <c r="B43" s="2" t="s">
        <v>318</v>
      </c>
      <c r="C43" s="2">
        <v>5</v>
      </c>
    </row>
    <row r="44" spans="1:3" x14ac:dyDescent="0.3">
      <c r="A44" s="2" t="s">
        <v>359</v>
      </c>
      <c r="B44" s="2" t="s">
        <v>318</v>
      </c>
      <c r="C44" s="2">
        <v>3</v>
      </c>
    </row>
    <row r="45" spans="1:3" x14ac:dyDescent="0.3">
      <c r="A45" s="2" t="s">
        <v>360</v>
      </c>
      <c r="B45" s="2" t="s">
        <v>318</v>
      </c>
      <c r="C45" s="2">
        <v>6</v>
      </c>
    </row>
    <row r="46" spans="1:3" x14ac:dyDescent="0.3">
      <c r="A46" s="2" t="s">
        <v>361</v>
      </c>
      <c r="B46" s="2" t="s">
        <v>326</v>
      </c>
      <c r="C46" s="2">
        <v>3</v>
      </c>
    </row>
    <row r="47" spans="1:3" x14ac:dyDescent="0.3">
      <c r="A47" s="2" t="s">
        <v>362</v>
      </c>
      <c r="B47" s="2" t="s">
        <v>315</v>
      </c>
      <c r="C47" s="2">
        <v>7</v>
      </c>
    </row>
    <row r="48" spans="1:3" x14ac:dyDescent="0.3">
      <c r="A48" s="2" t="s">
        <v>363</v>
      </c>
      <c r="B48" s="2" t="s">
        <v>318</v>
      </c>
      <c r="C48" s="2">
        <v>4</v>
      </c>
    </row>
    <row r="49" spans="1:3" x14ac:dyDescent="0.3">
      <c r="A49" s="2" t="s">
        <v>364</v>
      </c>
      <c r="B49" s="2" t="s">
        <v>318</v>
      </c>
      <c r="C49" s="2">
        <v>5</v>
      </c>
    </row>
    <row r="50" spans="1:3" x14ac:dyDescent="0.3">
      <c r="A50" s="2" t="s">
        <v>365</v>
      </c>
      <c r="B50" s="2" t="s">
        <v>326</v>
      </c>
      <c r="C50" s="2">
        <v>1</v>
      </c>
    </row>
    <row r="51" spans="1:3" x14ac:dyDescent="0.3">
      <c r="A51" s="2" t="s">
        <v>366</v>
      </c>
      <c r="B51" s="2" t="s">
        <v>326</v>
      </c>
      <c r="C51" s="2">
        <v>4</v>
      </c>
    </row>
    <row r="52" spans="1:3" x14ac:dyDescent="0.3">
      <c r="A52" s="2" t="s">
        <v>367</v>
      </c>
      <c r="B52" s="2" t="s">
        <v>326</v>
      </c>
      <c r="C52" s="2">
        <v>5</v>
      </c>
    </row>
    <row r="53" spans="1:3" x14ac:dyDescent="0.3">
      <c r="A53" s="2" t="s">
        <v>368</v>
      </c>
      <c r="B53" s="2" t="s">
        <v>326</v>
      </c>
      <c r="C53" s="2">
        <v>2</v>
      </c>
    </row>
    <row r="54" spans="1:3" x14ac:dyDescent="0.3">
      <c r="A54" s="2" t="s">
        <v>369</v>
      </c>
      <c r="B54" s="2" t="s">
        <v>326</v>
      </c>
      <c r="C54" s="2">
        <v>5</v>
      </c>
    </row>
    <row r="55" spans="1:3" x14ac:dyDescent="0.3">
      <c r="A55" s="2" t="s">
        <v>370</v>
      </c>
      <c r="B55" s="2" t="s">
        <v>326</v>
      </c>
      <c r="C55" s="2">
        <v>4</v>
      </c>
    </row>
    <row r="56" spans="1:3" x14ac:dyDescent="0.3">
      <c r="A56" s="2" t="s">
        <v>371</v>
      </c>
      <c r="B56" s="2" t="s">
        <v>326</v>
      </c>
      <c r="C56" s="2">
        <v>4</v>
      </c>
    </row>
    <row r="57" spans="1:3" x14ac:dyDescent="0.3">
      <c r="A57" s="2" t="s">
        <v>372</v>
      </c>
      <c r="B57" s="2" t="s">
        <v>318</v>
      </c>
      <c r="C57" s="2">
        <v>4</v>
      </c>
    </row>
    <row r="58" spans="1:3" x14ac:dyDescent="0.3">
      <c r="A58" s="2" t="s">
        <v>373</v>
      </c>
      <c r="B58" s="2" t="s">
        <v>318</v>
      </c>
      <c r="C58" s="2">
        <v>8</v>
      </c>
    </row>
    <row r="59" spans="1:3" x14ac:dyDescent="0.3">
      <c r="A59" s="2" t="s">
        <v>374</v>
      </c>
      <c r="B59" s="2" t="s">
        <v>315</v>
      </c>
      <c r="C59" s="2">
        <v>3</v>
      </c>
    </row>
    <row r="60" spans="1:3" x14ac:dyDescent="0.3">
      <c r="A60" s="2" t="s">
        <v>375</v>
      </c>
      <c r="B60" s="2" t="s">
        <v>315</v>
      </c>
      <c r="C60" s="2">
        <v>2</v>
      </c>
    </row>
    <row r="61" spans="1:3" x14ac:dyDescent="0.3">
      <c r="A61" s="2" t="s">
        <v>376</v>
      </c>
      <c r="B61" s="2" t="s">
        <v>326</v>
      </c>
      <c r="C61" s="2">
        <v>2</v>
      </c>
    </row>
    <row r="62" spans="1:3" x14ac:dyDescent="0.3">
      <c r="A62" s="2" t="s">
        <v>377</v>
      </c>
      <c r="B62" s="2" t="s">
        <v>326</v>
      </c>
      <c r="C62" s="2">
        <v>2</v>
      </c>
    </row>
    <row r="63" spans="1:3" x14ac:dyDescent="0.3">
      <c r="A63" s="2" t="s">
        <v>378</v>
      </c>
      <c r="B63" s="2" t="s">
        <v>315</v>
      </c>
      <c r="C63" s="2">
        <v>2</v>
      </c>
    </row>
    <row r="64" spans="1:3" x14ac:dyDescent="0.3">
      <c r="A64" s="2" t="s">
        <v>379</v>
      </c>
      <c r="B64" s="2" t="s">
        <v>315</v>
      </c>
      <c r="C64" s="2">
        <v>3</v>
      </c>
    </row>
    <row r="65" spans="1:3" x14ac:dyDescent="0.3">
      <c r="A65" s="2" t="s">
        <v>380</v>
      </c>
      <c r="B65" s="2" t="s">
        <v>326</v>
      </c>
      <c r="C65" s="2">
        <v>4</v>
      </c>
    </row>
    <row r="66" spans="1:3" x14ac:dyDescent="0.3">
      <c r="A66" s="2" t="s">
        <v>381</v>
      </c>
      <c r="B66" s="2" t="s">
        <v>326</v>
      </c>
      <c r="C66" s="2">
        <v>4</v>
      </c>
    </row>
    <row r="67" spans="1:3" x14ac:dyDescent="0.3">
      <c r="A67" s="2" t="s">
        <v>382</v>
      </c>
      <c r="B67" s="2" t="s">
        <v>318</v>
      </c>
      <c r="C67" s="2">
        <v>3</v>
      </c>
    </row>
    <row r="68" spans="1:3" x14ac:dyDescent="0.3">
      <c r="A68" s="2" t="s">
        <v>383</v>
      </c>
      <c r="B68" s="2" t="s">
        <v>318</v>
      </c>
      <c r="C68" s="2">
        <v>6</v>
      </c>
    </row>
    <row r="69" spans="1:3" x14ac:dyDescent="0.3">
      <c r="A69" s="2" t="s">
        <v>384</v>
      </c>
      <c r="B69" s="2" t="s">
        <v>315</v>
      </c>
      <c r="C69" s="2">
        <v>2</v>
      </c>
    </row>
    <row r="70" spans="1:3" x14ac:dyDescent="0.3">
      <c r="A70" s="2" t="s">
        <v>385</v>
      </c>
      <c r="B70" s="2" t="s">
        <v>315</v>
      </c>
      <c r="C70" s="2">
        <v>2</v>
      </c>
    </row>
    <row r="71" spans="1:3" x14ac:dyDescent="0.3">
      <c r="A71" s="2" t="s">
        <v>386</v>
      </c>
      <c r="B71" s="2" t="s">
        <v>315</v>
      </c>
      <c r="C71" s="2">
        <v>3</v>
      </c>
    </row>
    <row r="72" spans="1:3" x14ac:dyDescent="0.3">
      <c r="A72" s="2" t="s">
        <v>387</v>
      </c>
      <c r="B72" s="2" t="s">
        <v>318</v>
      </c>
      <c r="C72" s="2">
        <v>3</v>
      </c>
    </row>
    <row r="73" spans="1:3" x14ac:dyDescent="0.3">
      <c r="A73" s="2" t="s">
        <v>388</v>
      </c>
      <c r="B73" s="2" t="s">
        <v>315</v>
      </c>
      <c r="C73" s="2">
        <v>1</v>
      </c>
    </row>
    <row r="74" spans="1:3" x14ac:dyDescent="0.3">
      <c r="A74" s="2" t="s">
        <v>389</v>
      </c>
      <c r="B74" s="2" t="s">
        <v>318</v>
      </c>
      <c r="C74" s="2">
        <v>1</v>
      </c>
    </row>
    <row r="75" spans="1:3" x14ac:dyDescent="0.3">
      <c r="A75" s="2" t="s">
        <v>390</v>
      </c>
      <c r="B75" s="2" t="s">
        <v>315</v>
      </c>
      <c r="C75" s="2">
        <v>2</v>
      </c>
    </row>
    <row r="76" spans="1:3" x14ac:dyDescent="0.3">
      <c r="A76" s="2" t="s">
        <v>391</v>
      </c>
      <c r="B76" s="2" t="s">
        <v>315</v>
      </c>
      <c r="C76" s="2">
        <v>6</v>
      </c>
    </row>
    <row r="77" spans="1:3" x14ac:dyDescent="0.3">
      <c r="A77" s="2" t="s">
        <v>392</v>
      </c>
      <c r="B77" s="2" t="s">
        <v>318</v>
      </c>
      <c r="C77" s="2">
        <v>9</v>
      </c>
    </row>
    <row r="78" spans="1:3" x14ac:dyDescent="0.3">
      <c r="A78" s="2" t="s">
        <v>393</v>
      </c>
      <c r="B78" s="2" t="s">
        <v>326</v>
      </c>
      <c r="C78" s="2">
        <v>4</v>
      </c>
    </row>
    <row r="79" spans="1:3" x14ac:dyDescent="0.3">
      <c r="A79" s="2" t="s">
        <v>394</v>
      </c>
      <c r="B79" s="2" t="s">
        <v>315</v>
      </c>
      <c r="C79" s="2">
        <v>3</v>
      </c>
    </row>
    <row r="80" spans="1:3" x14ac:dyDescent="0.3">
      <c r="A80" s="2" t="s">
        <v>395</v>
      </c>
      <c r="B80" s="2" t="s">
        <v>326</v>
      </c>
      <c r="C80" s="2">
        <v>4</v>
      </c>
    </row>
    <row r="81" spans="1:3" x14ac:dyDescent="0.3">
      <c r="A81" s="2" t="s">
        <v>396</v>
      </c>
      <c r="B81" s="2" t="s">
        <v>318</v>
      </c>
      <c r="C81" s="2">
        <v>1</v>
      </c>
    </row>
    <row r="82" spans="1:3" x14ac:dyDescent="0.3">
      <c r="A82" s="2" t="s">
        <v>397</v>
      </c>
      <c r="B82" s="2" t="s">
        <v>318</v>
      </c>
      <c r="C82" s="2">
        <v>4</v>
      </c>
    </row>
    <row r="83" spans="1:3" x14ac:dyDescent="0.3">
      <c r="A83" s="2" t="s">
        <v>398</v>
      </c>
      <c r="B83" s="2" t="s">
        <v>318</v>
      </c>
      <c r="C83" s="2">
        <v>2</v>
      </c>
    </row>
    <row r="84" spans="1:3" x14ac:dyDescent="0.3">
      <c r="A84" s="2" t="s">
        <v>399</v>
      </c>
      <c r="B84" s="2" t="s">
        <v>315</v>
      </c>
      <c r="C84" s="2">
        <v>5</v>
      </c>
    </row>
    <row r="85" spans="1:3" x14ac:dyDescent="0.3">
      <c r="A85" s="2" t="s">
        <v>400</v>
      </c>
      <c r="B85" s="2" t="s">
        <v>326</v>
      </c>
      <c r="C85" s="2">
        <v>2</v>
      </c>
    </row>
    <row r="86" spans="1:3" x14ac:dyDescent="0.3">
      <c r="A86" s="2" t="s">
        <v>401</v>
      </c>
      <c r="B86" s="2" t="s">
        <v>315</v>
      </c>
      <c r="C86" s="2">
        <v>3</v>
      </c>
    </row>
    <row r="87" spans="1:3" x14ac:dyDescent="0.3">
      <c r="A87" s="2" t="s">
        <v>402</v>
      </c>
      <c r="B87" s="2" t="s">
        <v>326</v>
      </c>
      <c r="C87" s="2">
        <v>4</v>
      </c>
    </row>
    <row r="88" spans="1:3" x14ac:dyDescent="0.3">
      <c r="A88" s="2" t="s">
        <v>403</v>
      </c>
      <c r="B88" s="2" t="s">
        <v>318</v>
      </c>
      <c r="C88" s="2">
        <v>7</v>
      </c>
    </row>
    <row r="89" spans="1:3" x14ac:dyDescent="0.3">
      <c r="A89" s="2" t="s">
        <v>404</v>
      </c>
      <c r="B89" s="2" t="s">
        <v>326</v>
      </c>
      <c r="C89" s="2">
        <v>5</v>
      </c>
    </row>
    <row r="90" spans="1:3" x14ac:dyDescent="0.3">
      <c r="A90" s="2" t="s">
        <v>405</v>
      </c>
      <c r="B90" s="2" t="s">
        <v>318</v>
      </c>
      <c r="C90" s="2">
        <v>4</v>
      </c>
    </row>
    <row r="91" spans="1:3" x14ac:dyDescent="0.3">
      <c r="A91" s="2" t="s">
        <v>406</v>
      </c>
      <c r="B91" s="2" t="s">
        <v>326</v>
      </c>
      <c r="C91" s="2">
        <v>6</v>
      </c>
    </row>
    <row r="92" spans="1:3" x14ac:dyDescent="0.3">
      <c r="A92" s="2" t="s">
        <v>407</v>
      </c>
      <c r="B92" s="2" t="s">
        <v>315</v>
      </c>
      <c r="C92" s="2">
        <v>5</v>
      </c>
    </row>
    <row r="93" spans="1:3" x14ac:dyDescent="0.3">
      <c r="A93" s="2" t="s">
        <v>408</v>
      </c>
      <c r="B93" s="2" t="s">
        <v>315</v>
      </c>
      <c r="C93" s="2">
        <v>2</v>
      </c>
    </row>
    <row r="94" spans="1:3" x14ac:dyDescent="0.3">
      <c r="A94" s="2" t="s">
        <v>409</v>
      </c>
      <c r="B94" s="2" t="s">
        <v>315</v>
      </c>
      <c r="C94" s="2">
        <v>4</v>
      </c>
    </row>
    <row r="95" spans="1:3" x14ac:dyDescent="0.3">
      <c r="A95" s="2" t="s">
        <v>410</v>
      </c>
      <c r="B95" s="2" t="s">
        <v>315</v>
      </c>
      <c r="C95" s="2">
        <v>5</v>
      </c>
    </row>
    <row r="96" spans="1:3" x14ac:dyDescent="0.3">
      <c r="A96" s="2" t="s">
        <v>411</v>
      </c>
      <c r="B96" s="2" t="s">
        <v>315</v>
      </c>
      <c r="C96" s="2">
        <v>2</v>
      </c>
    </row>
    <row r="97" spans="1:3" x14ac:dyDescent="0.3">
      <c r="A97" s="2" t="s">
        <v>412</v>
      </c>
      <c r="B97" s="2" t="s">
        <v>315</v>
      </c>
      <c r="C97" s="2">
        <v>8</v>
      </c>
    </row>
    <row r="98" spans="1:3" x14ac:dyDescent="0.3">
      <c r="A98" s="2" t="s">
        <v>413</v>
      </c>
      <c r="B98" s="2" t="s">
        <v>315</v>
      </c>
      <c r="C98" s="2">
        <v>7</v>
      </c>
    </row>
    <row r="99" spans="1:3" x14ac:dyDescent="0.3">
      <c r="A99" s="2" t="s">
        <v>414</v>
      </c>
      <c r="B99" s="2" t="s">
        <v>315</v>
      </c>
      <c r="C99" s="2">
        <v>2</v>
      </c>
    </row>
    <row r="100" spans="1:3" x14ac:dyDescent="0.3">
      <c r="A100" s="2" t="s">
        <v>415</v>
      </c>
      <c r="B100" s="2" t="s">
        <v>318</v>
      </c>
      <c r="C100" s="2">
        <v>4</v>
      </c>
    </row>
    <row r="101" spans="1:3" x14ac:dyDescent="0.3">
      <c r="A101" s="2" t="s">
        <v>416</v>
      </c>
      <c r="B101" s="2" t="s">
        <v>315</v>
      </c>
      <c r="C101" s="2">
        <v>5</v>
      </c>
    </row>
    <row r="102" spans="1:3" x14ac:dyDescent="0.3">
      <c r="A102" s="2" t="s">
        <v>417</v>
      </c>
      <c r="B102" s="2" t="s">
        <v>315</v>
      </c>
      <c r="C102" s="2">
        <v>2</v>
      </c>
    </row>
    <row r="103" spans="1:3" x14ac:dyDescent="0.3">
      <c r="A103" s="2" t="s">
        <v>418</v>
      </c>
      <c r="B103" s="2" t="s">
        <v>326</v>
      </c>
      <c r="C103" s="2">
        <v>5</v>
      </c>
    </row>
    <row r="104" spans="1:3" x14ac:dyDescent="0.3">
      <c r="A104" s="2" t="s">
        <v>419</v>
      </c>
      <c r="B104" s="2" t="s">
        <v>318</v>
      </c>
      <c r="C104" s="2">
        <v>3</v>
      </c>
    </row>
    <row r="105" spans="1:3" x14ac:dyDescent="0.3">
      <c r="A105" s="2" t="s">
        <v>420</v>
      </c>
      <c r="B105" s="2" t="s">
        <v>318</v>
      </c>
      <c r="C105" s="2">
        <v>2</v>
      </c>
    </row>
    <row r="106" spans="1:3" x14ac:dyDescent="0.3">
      <c r="A106" s="2" t="s">
        <v>421</v>
      </c>
      <c r="B106" s="2" t="s">
        <v>318</v>
      </c>
      <c r="C106" s="2">
        <v>4</v>
      </c>
    </row>
    <row r="107" spans="1:3" x14ac:dyDescent="0.3">
      <c r="A107" s="2" t="s">
        <v>422</v>
      </c>
      <c r="B107" s="2" t="s">
        <v>318</v>
      </c>
      <c r="C107" s="2">
        <v>4</v>
      </c>
    </row>
    <row r="108" spans="1:3" x14ac:dyDescent="0.3">
      <c r="A108" s="2" t="s">
        <v>423</v>
      </c>
      <c r="B108" s="2" t="s">
        <v>326</v>
      </c>
      <c r="C108" s="2">
        <v>2</v>
      </c>
    </row>
    <row r="109" spans="1:3" x14ac:dyDescent="0.3">
      <c r="A109" s="2" t="s">
        <v>424</v>
      </c>
      <c r="B109" s="2" t="s">
        <v>318</v>
      </c>
      <c r="C109" s="2">
        <v>2</v>
      </c>
    </row>
    <row r="110" spans="1:3" x14ac:dyDescent="0.3">
      <c r="A110" s="2" t="s">
        <v>425</v>
      </c>
      <c r="B110" s="2" t="s">
        <v>315</v>
      </c>
      <c r="C110" s="2">
        <v>2</v>
      </c>
    </row>
    <row r="111" spans="1:3" x14ac:dyDescent="0.3">
      <c r="A111" s="2" t="s">
        <v>426</v>
      </c>
      <c r="B111" s="2" t="s">
        <v>326</v>
      </c>
      <c r="C111" s="2">
        <v>3</v>
      </c>
    </row>
    <row r="112" spans="1:3" x14ac:dyDescent="0.3">
      <c r="A112" s="2" t="s">
        <v>427</v>
      </c>
      <c r="B112" s="2" t="s">
        <v>315</v>
      </c>
      <c r="C112" s="2">
        <v>0</v>
      </c>
    </row>
    <row r="113" spans="1:3" x14ac:dyDescent="0.3">
      <c r="A113" s="2" t="s">
        <v>428</v>
      </c>
      <c r="B113" s="2" t="s">
        <v>315</v>
      </c>
      <c r="C113" s="2">
        <v>5</v>
      </c>
    </row>
    <row r="114" spans="1:3" x14ac:dyDescent="0.3">
      <c r="A114" s="2" t="s">
        <v>429</v>
      </c>
      <c r="B114" s="2" t="s">
        <v>326</v>
      </c>
      <c r="C114" s="2">
        <v>2</v>
      </c>
    </row>
    <row r="115" spans="1:3" x14ac:dyDescent="0.3">
      <c r="A115" s="2" t="s">
        <v>430</v>
      </c>
      <c r="B115" s="2" t="s">
        <v>315</v>
      </c>
      <c r="C115" s="2">
        <v>1</v>
      </c>
    </row>
    <row r="116" spans="1:3" x14ac:dyDescent="0.3">
      <c r="A116" s="2" t="s">
        <v>431</v>
      </c>
      <c r="B116" s="2" t="s">
        <v>318</v>
      </c>
      <c r="C116" s="2">
        <v>2</v>
      </c>
    </row>
    <row r="117" spans="1:3" x14ac:dyDescent="0.3">
      <c r="A117" s="2" t="s">
        <v>432</v>
      </c>
      <c r="B117" s="2" t="s">
        <v>326</v>
      </c>
      <c r="C117" s="2">
        <v>5</v>
      </c>
    </row>
    <row r="118" spans="1:3" x14ac:dyDescent="0.3">
      <c r="A118" s="2" t="s">
        <v>433</v>
      </c>
      <c r="B118" s="2" t="s">
        <v>315</v>
      </c>
      <c r="C118" s="2">
        <v>4</v>
      </c>
    </row>
    <row r="119" spans="1:3" x14ac:dyDescent="0.3">
      <c r="A119" s="2" t="s">
        <v>434</v>
      </c>
      <c r="B119" s="2" t="s">
        <v>315</v>
      </c>
      <c r="C119" s="2">
        <v>2</v>
      </c>
    </row>
    <row r="120" spans="1:3" x14ac:dyDescent="0.3">
      <c r="A120" s="2" t="s">
        <v>435</v>
      </c>
      <c r="B120" s="2" t="s">
        <v>326</v>
      </c>
      <c r="C120" s="2">
        <v>4</v>
      </c>
    </row>
    <row r="121" spans="1:3" x14ac:dyDescent="0.3">
      <c r="A121" s="2" t="s">
        <v>436</v>
      </c>
      <c r="B121" s="2" t="s">
        <v>315</v>
      </c>
      <c r="C121" s="2">
        <v>4</v>
      </c>
    </row>
    <row r="122" spans="1:3" x14ac:dyDescent="0.3">
      <c r="A122" s="2" t="s">
        <v>437</v>
      </c>
      <c r="B122" s="2" t="s">
        <v>315</v>
      </c>
      <c r="C122" s="2">
        <v>6</v>
      </c>
    </row>
    <row r="123" spans="1:3" x14ac:dyDescent="0.3">
      <c r="A123" s="2" t="s">
        <v>438</v>
      </c>
      <c r="B123" s="2" t="s">
        <v>326</v>
      </c>
      <c r="C123" s="2">
        <v>3</v>
      </c>
    </row>
    <row r="124" spans="1:3" x14ac:dyDescent="0.3">
      <c r="A124" s="2" t="s">
        <v>439</v>
      </c>
      <c r="B124" s="2" t="s">
        <v>315</v>
      </c>
      <c r="C124" s="2">
        <v>1</v>
      </c>
    </row>
    <row r="125" spans="1:3" x14ac:dyDescent="0.3">
      <c r="A125" s="2" t="s">
        <v>440</v>
      </c>
      <c r="B125" s="2" t="s">
        <v>315</v>
      </c>
      <c r="C125" s="2">
        <v>7</v>
      </c>
    </row>
    <row r="126" spans="1:3" x14ac:dyDescent="0.3">
      <c r="A126" s="2" t="s">
        <v>441</v>
      </c>
      <c r="B126" s="2" t="s">
        <v>326</v>
      </c>
      <c r="C126" s="2">
        <v>4</v>
      </c>
    </row>
    <row r="127" spans="1:3" x14ac:dyDescent="0.3">
      <c r="A127" s="2" t="s">
        <v>442</v>
      </c>
      <c r="B127" s="2" t="s">
        <v>315</v>
      </c>
      <c r="C127" s="2">
        <v>2</v>
      </c>
    </row>
    <row r="128" spans="1:3" x14ac:dyDescent="0.3">
      <c r="A128" s="2" t="s">
        <v>443</v>
      </c>
      <c r="B128" s="2" t="s">
        <v>318</v>
      </c>
      <c r="C128" s="2">
        <v>3</v>
      </c>
    </row>
    <row r="129" spans="1:3" x14ac:dyDescent="0.3">
      <c r="A129" s="2" t="s">
        <v>444</v>
      </c>
      <c r="B129" s="2" t="s">
        <v>315</v>
      </c>
      <c r="C129" s="2">
        <v>1</v>
      </c>
    </row>
    <row r="130" spans="1:3" x14ac:dyDescent="0.3">
      <c r="A130" s="2" t="s">
        <v>445</v>
      </c>
      <c r="B130" s="2" t="s">
        <v>318</v>
      </c>
      <c r="C130" s="2">
        <v>2</v>
      </c>
    </row>
    <row r="131" spans="1:3" x14ac:dyDescent="0.3">
      <c r="A131" s="2" t="s">
        <v>446</v>
      </c>
      <c r="B131" s="2" t="s">
        <v>315</v>
      </c>
      <c r="C131" s="2">
        <v>6</v>
      </c>
    </row>
    <row r="132" spans="1:3" x14ac:dyDescent="0.3">
      <c r="A132" s="2" t="s">
        <v>447</v>
      </c>
      <c r="B132" s="2" t="s">
        <v>315</v>
      </c>
      <c r="C132" s="2">
        <v>2</v>
      </c>
    </row>
    <row r="133" spans="1:3" x14ac:dyDescent="0.3">
      <c r="A133" s="2" t="s">
        <v>448</v>
      </c>
      <c r="B133" s="2" t="s">
        <v>318</v>
      </c>
      <c r="C133" s="2">
        <v>4</v>
      </c>
    </row>
    <row r="134" spans="1:3" x14ac:dyDescent="0.3">
      <c r="A134" s="2" t="s">
        <v>449</v>
      </c>
      <c r="B134" s="2" t="s">
        <v>318</v>
      </c>
      <c r="C134" s="2">
        <v>5</v>
      </c>
    </row>
    <row r="135" spans="1:3" x14ac:dyDescent="0.3">
      <c r="A135" s="2" t="s">
        <v>450</v>
      </c>
      <c r="B135" s="2" t="s">
        <v>315</v>
      </c>
      <c r="C135" s="2">
        <v>4</v>
      </c>
    </row>
    <row r="136" spans="1:3" x14ac:dyDescent="0.3">
      <c r="A136" s="2" t="s">
        <v>451</v>
      </c>
      <c r="B136" s="2" t="s">
        <v>315</v>
      </c>
      <c r="C136" s="2">
        <v>4</v>
      </c>
    </row>
    <row r="137" spans="1:3" x14ac:dyDescent="0.3">
      <c r="A137" s="2" t="s">
        <v>452</v>
      </c>
      <c r="B137" s="2" t="s">
        <v>326</v>
      </c>
      <c r="C137" s="2">
        <v>5</v>
      </c>
    </row>
    <row r="138" spans="1:3" x14ac:dyDescent="0.3">
      <c r="A138" s="2" t="s">
        <v>453</v>
      </c>
      <c r="B138" s="2" t="s">
        <v>318</v>
      </c>
      <c r="C138" s="2">
        <v>4</v>
      </c>
    </row>
    <row r="139" spans="1:3" x14ac:dyDescent="0.3">
      <c r="A139" s="2" t="s">
        <v>454</v>
      </c>
      <c r="B139" s="2" t="s">
        <v>318</v>
      </c>
      <c r="C139" s="2">
        <v>1</v>
      </c>
    </row>
    <row r="140" spans="1:3" x14ac:dyDescent="0.3">
      <c r="A140" s="2" t="s">
        <v>455</v>
      </c>
      <c r="B140" s="2" t="s">
        <v>326</v>
      </c>
      <c r="C140" s="2">
        <v>4</v>
      </c>
    </row>
    <row r="141" spans="1:3" x14ac:dyDescent="0.3">
      <c r="A141" s="2" t="s">
        <v>456</v>
      </c>
      <c r="B141" s="2" t="s">
        <v>315</v>
      </c>
      <c r="C141" s="2">
        <v>5</v>
      </c>
    </row>
    <row r="142" spans="1:3" x14ac:dyDescent="0.3">
      <c r="A142" s="2" t="s">
        <v>457</v>
      </c>
      <c r="B142" s="2" t="s">
        <v>318</v>
      </c>
      <c r="C142" s="2">
        <v>5</v>
      </c>
    </row>
    <row r="143" spans="1:3" x14ac:dyDescent="0.3">
      <c r="A143" s="2" t="s">
        <v>458</v>
      </c>
      <c r="B143" s="2" t="s">
        <v>326</v>
      </c>
      <c r="C143" s="2">
        <v>5</v>
      </c>
    </row>
    <row r="144" spans="1:3" x14ac:dyDescent="0.3">
      <c r="A144" s="2" t="s">
        <v>459</v>
      </c>
      <c r="B144" s="2" t="s">
        <v>315</v>
      </c>
      <c r="C144" s="2">
        <v>5</v>
      </c>
    </row>
    <row r="145" spans="1:3" x14ac:dyDescent="0.3">
      <c r="A145" s="2" t="s">
        <v>460</v>
      </c>
      <c r="B145" s="2" t="s">
        <v>326</v>
      </c>
      <c r="C145" s="2">
        <v>0</v>
      </c>
    </row>
    <row r="146" spans="1:3" x14ac:dyDescent="0.3">
      <c r="A146" s="2" t="s">
        <v>461</v>
      </c>
      <c r="B146" s="2" t="s">
        <v>318</v>
      </c>
      <c r="C146" s="2">
        <v>5</v>
      </c>
    </row>
    <row r="147" spans="1:3" x14ac:dyDescent="0.3">
      <c r="A147" s="2" t="s">
        <v>462</v>
      </c>
      <c r="B147" s="2" t="s">
        <v>315</v>
      </c>
      <c r="C147" s="2">
        <v>3</v>
      </c>
    </row>
    <row r="148" spans="1:3" x14ac:dyDescent="0.3">
      <c r="A148" s="2" t="s">
        <v>463</v>
      </c>
      <c r="B148" s="2" t="s">
        <v>326</v>
      </c>
      <c r="C148" s="2">
        <v>3</v>
      </c>
    </row>
    <row r="149" spans="1:3" x14ac:dyDescent="0.3">
      <c r="A149" s="2" t="s">
        <v>464</v>
      </c>
      <c r="B149" s="2" t="s">
        <v>326</v>
      </c>
      <c r="C149" s="2">
        <v>4</v>
      </c>
    </row>
    <row r="150" spans="1:3" x14ac:dyDescent="0.3">
      <c r="A150" s="2" t="s">
        <v>465</v>
      </c>
      <c r="B150" s="2" t="s">
        <v>326</v>
      </c>
      <c r="C150" s="2">
        <v>2</v>
      </c>
    </row>
    <row r="151" spans="1:3" x14ac:dyDescent="0.3">
      <c r="A151" s="2" t="s">
        <v>466</v>
      </c>
      <c r="B151" s="2" t="s">
        <v>326</v>
      </c>
      <c r="C151" s="2">
        <v>2</v>
      </c>
    </row>
    <row r="152" spans="1:3" x14ac:dyDescent="0.3">
      <c r="A152" s="2" t="s">
        <v>467</v>
      </c>
      <c r="B152" s="2" t="s">
        <v>315</v>
      </c>
      <c r="C152" s="2">
        <v>1</v>
      </c>
    </row>
    <row r="153" spans="1:3" x14ac:dyDescent="0.3">
      <c r="A153" s="2" t="s">
        <v>468</v>
      </c>
      <c r="B153" s="2" t="s">
        <v>318</v>
      </c>
      <c r="C153" s="2">
        <v>4</v>
      </c>
    </row>
    <row r="154" spans="1:3" x14ac:dyDescent="0.3">
      <c r="A154" s="2" t="s">
        <v>469</v>
      </c>
      <c r="B154" s="2" t="s">
        <v>326</v>
      </c>
      <c r="C154" s="2">
        <v>0</v>
      </c>
    </row>
    <row r="155" spans="1:3" x14ac:dyDescent="0.3">
      <c r="A155" s="2" t="s">
        <v>470</v>
      </c>
      <c r="B155" s="2" t="s">
        <v>326</v>
      </c>
      <c r="C155" s="2">
        <v>2</v>
      </c>
    </row>
    <row r="156" spans="1:3" x14ac:dyDescent="0.3">
      <c r="A156" s="2" t="s">
        <v>471</v>
      </c>
      <c r="B156" s="2" t="s">
        <v>315</v>
      </c>
      <c r="C156" s="2">
        <v>4</v>
      </c>
    </row>
    <row r="157" spans="1:3" x14ac:dyDescent="0.3">
      <c r="A157" s="2" t="s">
        <v>472</v>
      </c>
      <c r="B157" s="2" t="s">
        <v>326</v>
      </c>
      <c r="C157" s="2">
        <v>5</v>
      </c>
    </row>
    <row r="158" spans="1:3" x14ac:dyDescent="0.3">
      <c r="A158" s="2" t="s">
        <v>473</v>
      </c>
      <c r="B158" s="2" t="s">
        <v>315</v>
      </c>
      <c r="C158" s="2">
        <v>0</v>
      </c>
    </row>
    <row r="159" spans="1:3" x14ac:dyDescent="0.3">
      <c r="A159" s="2" t="s">
        <v>474</v>
      </c>
      <c r="B159" s="2" t="s">
        <v>318</v>
      </c>
      <c r="C159" s="2">
        <v>2</v>
      </c>
    </row>
    <row r="160" spans="1:3" x14ac:dyDescent="0.3">
      <c r="A160" s="2" t="s">
        <v>475</v>
      </c>
      <c r="B160" s="2" t="s">
        <v>315</v>
      </c>
      <c r="C160" s="2">
        <v>6</v>
      </c>
    </row>
    <row r="161" spans="1:3" x14ac:dyDescent="0.3">
      <c r="A161" s="2" t="s">
        <v>476</v>
      </c>
      <c r="B161" s="2" t="s">
        <v>326</v>
      </c>
      <c r="C161" s="2">
        <v>3</v>
      </c>
    </row>
    <row r="162" spans="1:3" x14ac:dyDescent="0.3">
      <c r="A162" s="2" t="s">
        <v>477</v>
      </c>
      <c r="B162" s="2" t="s">
        <v>326</v>
      </c>
      <c r="C162" s="2">
        <v>4</v>
      </c>
    </row>
    <row r="163" spans="1:3" x14ac:dyDescent="0.3">
      <c r="A163" s="2" t="s">
        <v>478</v>
      </c>
      <c r="B163" s="2" t="s">
        <v>315</v>
      </c>
      <c r="C163" s="2">
        <v>9</v>
      </c>
    </row>
    <row r="164" spans="1:3" x14ac:dyDescent="0.3">
      <c r="A164" s="2" t="s">
        <v>479</v>
      </c>
      <c r="B164" s="2" t="s">
        <v>315</v>
      </c>
      <c r="C164" s="2">
        <v>3</v>
      </c>
    </row>
    <row r="165" spans="1:3" x14ac:dyDescent="0.3">
      <c r="A165" s="2" t="s">
        <v>480</v>
      </c>
      <c r="B165" s="2" t="s">
        <v>315</v>
      </c>
      <c r="C165" s="2">
        <v>2</v>
      </c>
    </row>
    <row r="166" spans="1:3" x14ac:dyDescent="0.3">
      <c r="A166" s="2" t="s">
        <v>481</v>
      </c>
      <c r="B166" s="2" t="s">
        <v>326</v>
      </c>
      <c r="C166" s="2">
        <v>1</v>
      </c>
    </row>
    <row r="167" spans="1:3" x14ac:dyDescent="0.3">
      <c r="A167" s="2" t="s">
        <v>482</v>
      </c>
      <c r="B167" s="2" t="s">
        <v>315</v>
      </c>
      <c r="C167" s="2">
        <v>4</v>
      </c>
    </row>
    <row r="168" spans="1:3" x14ac:dyDescent="0.3">
      <c r="A168" s="2" t="s">
        <v>483</v>
      </c>
      <c r="B168" s="2" t="s">
        <v>326</v>
      </c>
      <c r="C168" s="2">
        <v>6</v>
      </c>
    </row>
    <row r="169" spans="1:3" x14ac:dyDescent="0.3">
      <c r="A169" s="2" t="s">
        <v>484</v>
      </c>
      <c r="B169" s="2" t="s">
        <v>315</v>
      </c>
      <c r="C169" s="2">
        <v>1</v>
      </c>
    </row>
    <row r="170" spans="1:3" x14ac:dyDescent="0.3">
      <c r="A170" s="2" t="s">
        <v>485</v>
      </c>
      <c r="B170" s="2" t="s">
        <v>315</v>
      </c>
      <c r="C170" s="2">
        <v>4</v>
      </c>
    </row>
    <row r="171" spans="1:3" x14ac:dyDescent="0.3">
      <c r="A171" s="2" t="s">
        <v>486</v>
      </c>
      <c r="B171" s="2" t="s">
        <v>326</v>
      </c>
      <c r="C171" s="2">
        <v>2</v>
      </c>
    </row>
    <row r="172" spans="1:3" x14ac:dyDescent="0.3">
      <c r="A172" s="2" t="s">
        <v>487</v>
      </c>
      <c r="B172" s="2" t="s">
        <v>315</v>
      </c>
      <c r="C172" s="2">
        <v>3</v>
      </c>
    </row>
    <row r="173" spans="1:3" x14ac:dyDescent="0.3">
      <c r="A173" s="2" t="s">
        <v>488</v>
      </c>
      <c r="B173" s="2" t="s">
        <v>318</v>
      </c>
      <c r="C173" s="2">
        <v>5</v>
      </c>
    </row>
    <row r="174" spans="1:3" x14ac:dyDescent="0.3">
      <c r="A174" s="2" t="s">
        <v>489</v>
      </c>
      <c r="B174" s="2" t="s">
        <v>315</v>
      </c>
      <c r="C174" s="2">
        <v>1</v>
      </c>
    </row>
    <row r="175" spans="1:3" x14ac:dyDescent="0.3">
      <c r="A175" s="2" t="s">
        <v>490</v>
      </c>
      <c r="B175" s="2" t="s">
        <v>326</v>
      </c>
      <c r="C175" s="2">
        <v>2</v>
      </c>
    </row>
    <row r="176" spans="1:3" x14ac:dyDescent="0.3">
      <c r="A176" s="2" t="s">
        <v>491</v>
      </c>
      <c r="B176" s="2" t="s">
        <v>326</v>
      </c>
      <c r="C176" s="2">
        <v>4</v>
      </c>
    </row>
    <row r="177" spans="1:3" x14ac:dyDescent="0.3">
      <c r="A177" s="2" t="s">
        <v>492</v>
      </c>
      <c r="B177" s="2" t="s">
        <v>326</v>
      </c>
      <c r="C177" s="2">
        <v>2</v>
      </c>
    </row>
    <row r="178" spans="1:3" x14ac:dyDescent="0.3">
      <c r="A178" s="2" t="s">
        <v>493</v>
      </c>
      <c r="B178" s="2" t="s">
        <v>318</v>
      </c>
      <c r="C178" s="2">
        <v>5</v>
      </c>
    </row>
    <row r="179" spans="1:3" x14ac:dyDescent="0.3">
      <c r="A179" s="2" t="s">
        <v>494</v>
      </c>
      <c r="B179" s="2" t="s">
        <v>315</v>
      </c>
      <c r="C179" s="2">
        <v>4</v>
      </c>
    </row>
    <row r="180" spans="1:3" x14ac:dyDescent="0.3">
      <c r="A180" s="2" t="s">
        <v>495</v>
      </c>
      <c r="B180" s="2" t="s">
        <v>318</v>
      </c>
      <c r="C180" s="2">
        <v>2</v>
      </c>
    </row>
    <row r="181" spans="1:3" x14ac:dyDescent="0.3">
      <c r="A181" s="2" t="s">
        <v>496</v>
      </c>
      <c r="B181" s="2" t="s">
        <v>326</v>
      </c>
      <c r="C181" s="2">
        <v>3</v>
      </c>
    </row>
  </sheetData>
  <autoFilter ref="A1:C18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2"/>
  <sheetViews>
    <sheetView tabSelected="1" zoomScale="47" zoomScaleNormal="85" workbookViewId="0">
      <selection activeCell="C11" sqref="C11"/>
    </sheetView>
  </sheetViews>
  <sheetFormatPr defaultRowHeight="14.4" x14ac:dyDescent="0.3"/>
  <cols>
    <col min="1" max="1" width="8" customWidth="1"/>
    <col min="2" max="2" width="46" customWidth="1"/>
    <col min="3" max="3" width="53.33203125" customWidth="1"/>
    <col min="4" max="4" width="98.109375" customWidth="1"/>
    <col min="5" max="5" width="5.33203125" customWidth="1"/>
    <col min="6" max="6" width="10.5546875" customWidth="1"/>
    <col min="7" max="7" width="16.88671875" customWidth="1"/>
    <col min="8" max="8" width="16" customWidth="1"/>
    <col min="9" max="9" width="4" customWidth="1"/>
    <col min="11" max="11" width="20.6640625" customWidth="1"/>
    <col min="12" max="12" width="18.21875" customWidth="1"/>
    <col min="16" max="16" width="7.88671875" customWidth="1"/>
    <col min="17" max="17" width="10.6640625" customWidth="1"/>
    <col min="24" max="24" width="32.33203125" customWidth="1"/>
  </cols>
  <sheetData>
    <row r="1" spans="1:25" ht="25.8" x14ac:dyDescent="0.5">
      <c r="A1" s="1"/>
      <c r="O1" s="8" t="s">
        <v>549</v>
      </c>
    </row>
    <row r="3" spans="1:25" x14ac:dyDescent="0.3">
      <c r="A3" s="4" t="s">
        <v>497</v>
      </c>
      <c r="B3" s="4" t="s">
        <v>498</v>
      </c>
      <c r="C3" s="4" t="s">
        <v>499</v>
      </c>
      <c r="D3" s="4" t="s">
        <v>500</v>
      </c>
    </row>
    <row r="4" spans="1:25" x14ac:dyDescent="0.3">
      <c r="A4" s="23" t="s">
        <v>502</v>
      </c>
      <c r="B4" s="29" t="s">
        <v>515</v>
      </c>
      <c r="C4" s="30" t="s">
        <v>503</v>
      </c>
      <c r="D4" s="30" t="s">
        <v>504</v>
      </c>
    </row>
    <row r="5" spans="1:25" x14ac:dyDescent="0.3">
      <c r="A5" s="23" t="s">
        <v>502</v>
      </c>
      <c r="B5" s="29" t="s">
        <v>514</v>
      </c>
      <c r="C5" s="30" t="s">
        <v>503</v>
      </c>
      <c r="D5" s="31" t="s">
        <v>505</v>
      </c>
    </row>
    <row r="6" spans="1:25" x14ac:dyDescent="0.3">
      <c r="A6" s="23" t="s">
        <v>502</v>
      </c>
      <c r="B6" s="29" t="s">
        <v>513</v>
      </c>
      <c r="C6" s="32" t="s">
        <v>506</v>
      </c>
      <c r="D6" s="30" t="s">
        <v>507</v>
      </c>
    </row>
    <row r="7" spans="1:25" x14ac:dyDescent="0.3">
      <c r="A7" s="23" t="s">
        <v>502</v>
      </c>
      <c r="B7" s="29" t="s">
        <v>512</v>
      </c>
      <c r="C7" s="32" t="s">
        <v>506</v>
      </c>
      <c r="D7" s="30" t="s">
        <v>508</v>
      </c>
      <c r="J7" s="11" t="s">
        <v>543</v>
      </c>
      <c r="K7" s="11" t="s">
        <v>544</v>
      </c>
      <c r="L7" s="11" t="s">
        <v>545</v>
      </c>
    </row>
    <row r="8" spans="1:25" x14ac:dyDescent="0.3">
      <c r="A8" s="23" t="s">
        <v>502</v>
      </c>
      <c r="B8" s="24" t="s">
        <v>509</v>
      </c>
      <c r="C8" s="25" t="s">
        <v>510</v>
      </c>
      <c r="D8" s="26" t="s">
        <v>511</v>
      </c>
      <c r="J8" s="12">
        <v>0</v>
      </c>
      <c r="K8" s="15">
        <f t="shared" ref="K8:K14" si="0">_xlfn.BINOM.DIST(J8,6, 0.292,FALSE)</f>
        <v>0.12595039856348775</v>
      </c>
      <c r="L8" s="15">
        <f>COUNTIF(graduates!F:F,J8)/300</f>
        <v>0.22</v>
      </c>
    </row>
    <row r="9" spans="1:25" x14ac:dyDescent="0.3">
      <c r="A9" s="23" t="s">
        <v>518</v>
      </c>
      <c r="B9" s="31" t="s">
        <v>516</v>
      </c>
      <c r="C9" s="33">
        <f>SUM(graduates!F:F)/SUM(graduates!E:E)</f>
        <v>0.2916160388821385</v>
      </c>
      <c r="D9" s="29" t="s">
        <v>517</v>
      </c>
      <c r="J9" s="12">
        <v>1</v>
      </c>
      <c r="K9" s="15">
        <f t="shared" si="0"/>
        <v>0.31167386763168153</v>
      </c>
      <c r="L9" s="15">
        <f>COUNTIF(graduates!F:F,J9)/300</f>
        <v>0.32</v>
      </c>
    </row>
    <row r="10" spans="1:25" x14ac:dyDescent="0.3">
      <c r="A10" s="23" t="s">
        <v>519</v>
      </c>
      <c r="B10" s="31" t="s">
        <v>520</v>
      </c>
      <c r="C10" s="33">
        <f>_xlfn.BINOM.DIST(2, 6, 0.292, FALSE)</f>
        <v>0.32135864882927617</v>
      </c>
      <c r="D10" s="31" t="s">
        <v>521</v>
      </c>
      <c r="J10" s="12">
        <v>2</v>
      </c>
      <c r="K10" s="15">
        <f t="shared" si="0"/>
        <v>0.32135864882927617</v>
      </c>
      <c r="L10" s="15">
        <f>COUNTIF(graduates!F:F,J10)/300</f>
        <v>0.22666666666666666</v>
      </c>
    </row>
    <row r="11" spans="1:25" x14ac:dyDescent="0.3">
      <c r="A11" s="23" t="s">
        <v>522</v>
      </c>
      <c r="B11" s="31" t="s">
        <v>523</v>
      </c>
      <c r="C11" s="34">
        <f>_xlfn.BINOM.DIST(0, 6, 0.292, FALSE)</f>
        <v>0.12595039856348775</v>
      </c>
      <c r="D11" s="31" t="s">
        <v>524</v>
      </c>
      <c r="J11" s="12">
        <v>3</v>
      </c>
      <c r="K11" s="15">
        <f t="shared" si="0"/>
        <v>0.1767169970963251</v>
      </c>
      <c r="L11" s="15">
        <f>COUNTIF(graduates!F:F,J11)/300</f>
        <v>0.14333333333333334</v>
      </c>
    </row>
    <row r="12" spans="1:25" x14ac:dyDescent="0.3">
      <c r="A12" s="23" t="s">
        <v>525</v>
      </c>
      <c r="B12" s="31" t="s">
        <v>526</v>
      </c>
      <c r="C12" s="34">
        <f>1 - _xlfn.BINOM.DIST(0, 6, 0.292, FALSE)</f>
        <v>0.87404960143651222</v>
      </c>
      <c r="D12" s="31" t="s">
        <v>532</v>
      </c>
      <c r="J12" s="12">
        <v>4</v>
      </c>
      <c r="K12" s="15">
        <f t="shared" si="0"/>
        <v>5.466246096623617E-2</v>
      </c>
      <c r="L12" s="15">
        <f>COUNTIF(graduates!F:F,J12)/300</f>
        <v>6.3333333333333339E-2</v>
      </c>
    </row>
    <row r="13" spans="1:25" x14ac:dyDescent="0.3">
      <c r="A13" s="23" t="s">
        <v>527</v>
      </c>
      <c r="B13" s="31" t="s">
        <v>528</v>
      </c>
      <c r="C13" s="12">
        <f xml:space="preserve"> 6 * 0.292</f>
        <v>1.7519999999999998</v>
      </c>
      <c r="D13" s="31" t="s">
        <v>530</v>
      </c>
      <c r="J13" s="12">
        <v>5</v>
      </c>
      <c r="K13" s="15">
        <f t="shared" si="0"/>
        <v>9.0177619221135374E-3</v>
      </c>
      <c r="L13" s="15">
        <f>COUNTIF(graduates!F:F,J13)/300</f>
        <v>0.02</v>
      </c>
    </row>
    <row r="14" spans="1:25" x14ac:dyDescent="0.3">
      <c r="A14" s="27"/>
      <c r="B14" s="29" t="s">
        <v>529</v>
      </c>
      <c r="C14" s="12">
        <f>6*0.292*(1-0.292)</f>
        <v>1.2404159999999997</v>
      </c>
      <c r="D14" s="31" t="s">
        <v>531</v>
      </c>
      <c r="J14" s="12">
        <v>6</v>
      </c>
      <c r="K14" s="15">
        <f t="shared" si="0"/>
        <v>6.1986499087974373E-4</v>
      </c>
      <c r="L14" s="15">
        <f>COUNTIF(graduates!F:F,J14)/300</f>
        <v>3.3333333333333335E-3</v>
      </c>
    </row>
    <row r="15" spans="1:25" x14ac:dyDescent="0.3">
      <c r="A15" s="28" t="s">
        <v>533</v>
      </c>
      <c r="B15" s="31" t="s">
        <v>501</v>
      </c>
      <c r="C15" s="35" t="s">
        <v>534</v>
      </c>
      <c r="D15" s="29" t="s">
        <v>535</v>
      </c>
    </row>
    <row r="16" spans="1:25" x14ac:dyDescent="0.3">
      <c r="A16" s="28" t="s">
        <v>537</v>
      </c>
      <c r="B16" s="31" t="s">
        <v>536</v>
      </c>
      <c r="C16" s="33">
        <f>COUNTIF(graduates!F:F, 0) / 300</f>
        <v>0.22</v>
      </c>
      <c r="D16" s="31" t="s">
        <v>538</v>
      </c>
      <c r="J16" s="40" t="s">
        <v>547</v>
      </c>
      <c r="K16" s="40"/>
      <c r="L16" s="40"/>
      <c r="M16" s="40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47" x14ac:dyDescent="0.3">
      <c r="A17" s="28" t="s">
        <v>539</v>
      </c>
      <c r="B17" s="29" t="s">
        <v>540</v>
      </c>
      <c r="C17" s="35" t="s">
        <v>541</v>
      </c>
      <c r="D17" s="36" t="s">
        <v>542</v>
      </c>
      <c r="J17" s="40" t="s">
        <v>548</v>
      </c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spans="1:47" x14ac:dyDescent="0.3">
      <c r="A18" s="9"/>
      <c r="B18" s="9"/>
      <c r="C18" s="10"/>
      <c r="D18" s="9"/>
      <c r="J18" s="40" t="s">
        <v>546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38"/>
      <c r="V18" s="38"/>
      <c r="W18" s="38"/>
      <c r="X18" s="38"/>
      <c r="Y18" s="38"/>
    </row>
    <row r="19" spans="1:47" ht="27" customHeight="1" x14ac:dyDescent="0.3">
      <c r="A19" s="17" t="s">
        <v>550</v>
      </c>
      <c r="B19" s="35" t="s">
        <v>551</v>
      </c>
      <c r="C19" s="12">
        <f>AVERAGE(helpdesk!C:C)</f>
        <v>3.7055555555555557</v>
      </c>
      <c r="D19" s="35" t="s">
        <v>553</v>
      </c>
      <c r="F19" s="13" t="s">
        <v>575</v>
      </c>
      <c r="G19" s="14" t="s">
        <v>576</v>
      </c>
      <c r="H19" s="14" t="s">
        <v>577</v>
      </c>
    </row>
    <row r="20" spans="1:47" x14ac:dyDescent="0.3">
      <c r="A20" s="18"/>
      <c r="B20" s="35" t="s">
        <v>552</v>
      </c>
      <c r="C20" s="12">
        <f>_xlfn.VAR.S(helpdesk!C:C)</f>
        <v>3.6055555555555565</v>
      </c>
      <c r="D20" s="35" t="s">
        <v>554</v>
      </c>
      <c r="F20" s="12">
        <v>0</v>
      </c>
      <c r="G20" s="15">
        <f>_xlfn.POISSON.DIST(F20,3.7,FALSE)</f>
        <v>2.4723526470339388E-2</v>
      </c>
      <c r="H20" s="12" t="s">
        <v>578</v>
      </c>
      <c r="Q20" s="5"/>
    </row>
    <row r="21" spans="1:47" x14ac:dyDescent="0.3">
      <c r="A21" s="19" t="s">
        <v>555</v>
      </c>
      <c r="B21" s="12" t="s">
        <v>556</v>
      </c>
      <c r="C21" s="12" t="s">
        <v>557</v>
      </c>
      <c r="D21" s="37" t="s">
        <v>558</v>
      </c>
      <c r="F21" s="12">
        <v>1</v>
      </c>
      <c r="G21" s="15">
        <f t="shared" ref="G21:G30" si="1">_xlfn.POISSON.DIST(F21,3.7,FALSE)</f>
        <v>9.147704794025574E-2</v>
      </c>
      <c r="H21" s="12" t="s">
        <v>578</v>
      </c>
      <c r="Q21" s="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</row>
    <row r="22" spans="1:47" x14ac:dyDescent="0.3">
      <c r="A22" s="19" t="s">
        <v>559</v>
      </c>
      <c r="B22" s="12" t="s">
        <v>560</v>
      </c>
      <c r="C22" s="12" t="s">
        <v>561</v>
      </c>
      <c r="D22" s="12" t="s">
        <v>562</v>
      </c>
      <c r="F22" s="12">
        <v>2</v>
      </c>
      <c r="G22" s="15">
        <f t="shared" si="1"/>
        <v>0.16923253868947319</v>
      </c>
      <c r="H22" s="12" t="s">
        <v>578</v>
      </c>
    </row>
    <row r="23" spans="1:47" x14ac:dyDescent="0.3">
      <c r="A23" s="20"/>
      <c r="B23" s="22"/>
      <c r="C23" s="22"/>
      <c r="D23" s="22"/>
      <c r="F23" s="12">
        <v>3</v>
      </c>
      <c r="G23" s="15">
        <f t="shared" si="1"/>
        <v>0.20872013105035023</v>
      </c>
      <c r="H23" s="12" t="s">
        <v>578</v>
      </c>
    </row>
    <row r="24" spans="1:47" x14ac:dyDescent="0.3">
      <c r="A24" s="19" t="s">
        <v>563</v>
      </c>
      <c r="B24" s="12" t="s">
        <v>564</v>
      </c>
      <c r="C24" s="12">
        <f>_xlfn.POISSON.DIST(2,3.7,FALSE)</f>
        <v>0.16923253868947319</v>
      </c>
      <c r="D24" s="12" t="s">
        <v>565</v>
      </c>
      <c r="F24" s="12">
        <v>4</v>
      </c>
      <c r="G24" s="15">
        <f t="shared" si="1"/>
        <v>0.19306612122157396</v>
      </c>
      <c r="H24" s="12" t="s">
        <v>578</v>
      </c>
    </row>
    <row r="25" spans="1:47" x14ac:dyDescent="0.3">
      <c r="A25" s="19" t="s">
        <v>566</v>
      </c>
      <c r="B25" s="12" t="s">
        <v>567</v>
      </c>
      <c r="C25" s="32">
        <f>_xlfn.POISSON.DIST(0,3.7,FALSE)</f>
        <v>2.4723526470339388E-2</v>
      </c>
      <c r="D25" s="35" t="s">
        <v>571</v>
      </c>
      <c r="F25" s="12">
        <v>5</v>
      </c>
      <c r="G25" s="15">
        <f t="shared" si="1"/>
        <v>0.1428689297039647</v>
      </c>
      <c r="H25" s="12" t="s">
        <v>578</v>
      </c>
    </row>
    <row r="26" spans="1:47" x14ac:dyDescent="0.3">
      <c r="A26" s="19" t="s">
        <v>568</v>
      </c>
      <c r="B26" s="12" t="s">
        <v>569</v>
      </c>
      <c r="C26" s="32">
        <f>1 - _xlfn.POISSON.DIST(1,3.7,TRUE)</f>
        <v>0.88379942558940483</v>
      </c>
      <c r="D26" s="12" t="s">
        <v>570</v>
      </c>
      <c r="F26" s="12">
        <v>6</v>
      </c>
      <c r="G26" s="15">
        <f t="shared" si="1"/>
        <v>8.8102506650778248E-2</v>
      </c>
      <c r="H26" s="12" t="s">
        <v>578</v>
      </c>
    </row>
    <row r="27" spans="1:47" x14ac:dyDescent="0.3">
      <c r="A27" s="19" t="s">
        <v>572</v>
      </c>
      <c r="B27" s="12" t="s">
        <v>573</v>
      </c>
      <c r="C27" s="12">
        <f>1 - _xlfn.POISSON.DIST(6,3.7,TRUE)</f>
        <v>8.1809198273264605E-2</v>
      </c>
      <c r="D27" s="35" t="s">
        <v>574</v>
      </c>
      <c r="F27" s="12">
        <v>7</v>
      </c>
      <c r="G27" s="15">
        <f t="shared" si="1"/>
        <v>4.6568467801125626E-2</v>
      </c>
      <c r="H27" s="12" t="s">
        <v>579</v>
      </c>
    </row>
    <row r="28" spans="1:47" x14ac:dyDescent="0.3">
      <c r="A28" s="21"/>
      <c r="B28" s="21"/>
      <c r="C28" s="21"/>
      <c r="D28" s="21"/>
      <c r="F28" s="12">
        <v>8</v>
      </c>
      <c r="G28" s="15">
        <f t="shared" si="1"/>
        <v>2.1537916358020638E-2</v>
      </c>
      <c r="H28" s="12" t="s">
        <v>579</v>
      </c>
    </row>
    <row r="29" spans="1:47" x14ac:dyDescent="0.3">
      <c r="A29" s="41" t="s">
        <v>580</v>
      </c>
      <c r="B29" s="42" t="s">
        <v>581</v>
      </c>
      <c r="C29" s="42" t="s">
        <v>582</v>
      </c>
      <c r="D29" s="42" t="s">
        <v>583</v>
      </c>
      <c r="F29" s="12">
        <v>9</v>
      </c>
      <c r="G29" s="15">
        <f t="shared" si="1"/>
        <v>8.8544767249640211E-3</v>
      </c>
      <c r="H29" s="12" t="s">
        <v>579</v>
      </c>
    </row>
    <row r="30" spans="1:47" x14ac:dyDescent="0.3">
      <c r="A30" s="41"/>
      <c r="B30" s="42"/>
      <c r="C30" s="42"/>
      <c r="D30" s="42"/>
      <c r="F30" s="12">
        <v>10</v>
      </c>
      <c r="G30" s="15">
        <f t="shared" si="1"/>
        <v>3.276156388236692E-3</v>
      </c>
      <c r="H30" s="12" t="s">
        <v>579</v>
      </c>
    </row>
    <row r="31" spans="1:47" x14ac:dyDescent="0.3">
      <c r="A31" s="41"/>
      <c r="B31" s="42"/>
      <c r="C31" s="42"/>
      <c r="D31" s="42"/>
    </row>
    <row r="32" spans="1:47" x14ac:dyDescent="0.3">
      <c r="A32" s="41"/>
      <c r="B32" s="42"/>
      <c r="C32" s="42"/>
      <c r="D32" s="42"/>
    </row>
    <row r="33" spans="1:24" x14ac:dyDescent="0.3">
      <c r="A33" s="41"/>
      <c r="B33" s="42"/>
      <c r="C33" s="42"/>
      <c r="D33" s="42"/>
    </row>
    <row r="34" spans="1:24" x14ac:dyDescent="0.3">
      <c r="A34" s="43" t="s">
        <v>584</v>
      </c>
      <c r="B34" s="44" t="s">
        <v>585</v>
      </c>
      <c r="C34" s="44" t="s">
        <v>586</v>
      </c>
      <c r="D34" s="44" t="s">
        <v>587</v>
      </c>
    </row>
    <row r="35" spans="1:24" x14ac:dyDescent="0.3">
      <c r="A35" s="43"/>
      <c r="B35" s="45"/>
      <c r="C35" s="45"/>
      <c r="D35" s="45"/>
      <c r="I35" s="40"/>
      <c r="J35" s="40"/>
      <c r="K35" s="40"/>
      <c r="L35" s="40"/>
    </row>
    <row r="36" spans="1:24" x14ac:dyDescent="0.3">
      <c r="A36" s="43"/>
      <c r="B36" s="45"/>
      <c r="C36" s="45"/>
      <c r="D36" s="45"/>
      <c r="I36" s="7"/>
    </row>
    <row r="37" spans="1:24" x14ac:dyDescent="0.3">
      <c r="A37" s="43"/>
      <c r="B37" s="45"/>
      <c r="C37" s="45"/>
      <c r="D37" s="45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 x14ac:dyDescent="0.3">
      <c r="A38" s="43"/>
      <c r="B38" s="45"/>
      <c r="C38" s="45"/>
      <c r="D38" s="45"/>
      <c r="I38" s="7"/>
    </row>
    <row r="39" spans="1:24" x14ac:dyDescent="0.3">
      <c r="A39" s="43" t="s">
        <v>588</v>
      </c>
      <c r="B39" s="44" t="s">
        <v>589</v>
      </c>
      <c r="C39" s="44" t="s">
        <v>590</v>
      </c>
      <c r="D39" s="44" t="s">
        <v>591</v>
      </c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</row>
    <row r="40" spans="1:24" x14ac:dyDescent="0.3">
      <c r="A40" s="43"/>
      <c r="B40" s="45"/>
      <c r="C40" s="45"/>
      <c r="D40" s="45"/>
    </row>
    <row r="41" spans="1:24" x14ac:dyDescent="0.3">
      <c r="A41" s="43"/>
      <c r="B41" s="45"/>
      <c r="C41" s="45"/>
      <c r="D41" s="45"/>
    </row>
    <row r="42" spans="1:24" ht="15.6" x14ac:dyDescent="0.3">
      <c r="A42" s="43"/>
      <c r="B42" s="45"/>
      <c r="C42" s="45"/>
      <c r="D42" s="45"/>
      <c r="F42" s="39" t="s">
        <v>592</v>
      </c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</row>
  </sheetData>
  <mergeCells count="19">
    <mergeCell ref="A39:A42"/>
    <mergeCell ref="B39:B42"/>
    <mergeCell ref="C39:C42"/>
    <mergeCell ref="D39:D42"/>
    <mergeCell ref="A29:A33"/>
    <mergeCell ref="B29:B33"/>
    <mergeCell ref="C29:C33"/>
    <mergeCell ref="D29:D33"/>
    <mergeCell ref="A34:A38"/>
    <mergeCell ref="B34:B38"/>
    <mergeCell ref="C34:C38"/>
    <mergeCell ref="D34:D38"/>
    <mergeCell ref="F42:Q42"/>
    <mergeCell ref="I35:L35"/>
    <mergeCell ref="I37:X37"/>
    <mergeCell ref="I39:S39"/>
    <mergeCell ref="J16:M16"/>
    <mergeCell ref="J17:Y17"/>
    <mergeCell ref="J18:T18"/>
  </mergeCells>
  <phoneticPr fontId="6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graduates</vt:lpstr>
      <vt:lpstr>helpdesk</vt:lpstr>
      <vt:lpstr>Myr_answers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faisal</cp:lastModifiedBy>
  <cp:lastPrinted>2026-08-09T09:19:06Z</cp:lastPrinted>
  <dcterms:created xsi:type="dcterms:W3CDTF">2026-07-24T08:45:37Z</dcterms:created>
  <dcterms:modified xsi:type="dcterms:W3CDTF">2026-10-26T22:32:50Z</dcterms:modified>
</cp:coreProperties>
</file>